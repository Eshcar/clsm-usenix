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13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worksheets/sheet1.xml" ContentType="application/vnd.openxmlformats-officedocument.spreadsheetml.workshee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1.xml" ContentType="application/vnd.openxmlformats-officedocument.drawing+xml"/>
  <Override PartName="/xl/charts/chart25.xml" ContentType="application/vnd.openxmlformats-officedocument.drawingml.chart+xml"/>
  <Override PartName="/xl/drawings/drawing12.xml" ContentType="application/vnd.openxmlformats-officedocument.drawing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0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docProps/core.xml" ContentType="application/vnd.openxmlformats-package.core-properties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drawings/drawing9.xml" ContentType="application/vnd.openxmlformats-officedocument.drawing+xml"/>
  <Default Extension="bin" ContentType="application/vnd.openxmlformats-officedocument.spreadsheetml.printerSettings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autoCompressPictures="0" defaultThemeVersion="124226"/>
  <bookViews>
    <workbookView xWindow="-660" yWindow="1500" windowWidth="24240" windowHeight="13740" tabRatio="676"/>
  </bookViews>
  <sheets>
    <sheet name="0% read , 100% write" sheetId="1" r:id="rId1"/>
    <sheet name="100% read , 0% write" sheetId="5" r:id="rId2"/>
    <sheet name="100% RMW " sheetId="13" r:id="rId3"/>
    <sheet name="var buffer size" sheetId="17" r:id="rId4"/>
    <sheet name="50% read , 50% write" sheetId="4" r:id="rId5"/>
    <sheet name="50% scans, 50% writes" sheetId="18" r:id="rId6"/>
    <sheet name="Heavy compactions" sheetId="24" r:id="rId7"/>
    <sheet name="ProdA" sheetId="19" r:id="rId8"/>
    <sheet name="ProdB" sheetId="20" r:id="rId9"/>
    <sheet name="ProdD" sheetId="21" r:id="rId10"/>
    <sheet name="ProdE" sheetId="22" r:id="rId11"/>
    <sheet name="Production4Partitions" sheetId="23" r:id="rId12"/>
    <sheet name="100% write (back rmw)" sheetId="14" r:id="rId13"/>
  </sheets>
  <calcPr calcId="125725"/>
</workbook>
</file>

<file path=xl/calcChain.xml><?xml version="1.0" encoding="utf-8"?>
<calcChain xmlns="http://schemas.openxmlformats.org/spreadsheetml/2006/main">
  <c r="Q47" i="24"/>
  <c r="P47"/>
  <c r="O47"/>
  <c r="N47"/>
  <c r="Q46"/>
  <c r="P46"/>
  <c r="O46"/>
  <c r="N46"/>
  <c r="Q45"/>
  <c r="P45"/>
  <c r="O45"/>
  <c r="N45"/>
  <c r="Q44"/>
  <c r="P44"/>
  <c r="O44"/>
  <c r="N44"/>
  <c r="Q51" i="1"/>
  <c r="P51"/>
  <c r="O51"/>
  <c r="O50" i="5"/>
  <c r="P49"/>
  <c r="P50"/>
  <c r="Q49"/>
  <c r="Q50"/>
  <c r="Q46"/>
  <c r="P46"/>
  <c r="O46"/>
  <c r="L21"/>
  <c r="I23"/>
  <c r="J23"/>
  <c r="K23"/>
  <c r="E51" i="21"/>
  <c r="F51"/>
  <c r="G51"/>
  <c r="E50"/>
  <c r="F50"/>
  <c r="G50"/>
  <c r="E49"/>
  <c r="F49"/>
  <c r="G49"/>
  <c r="E48"/>
  <c r="F48"/>
  <c r="G48"/>
  <c r="E47"/>
  <c r="F47"/>
  <c r="G47"/>
  <c r="E46"/>
  <c r="F46"/>
  <c r="G46"/>
  <c r="E45"/>
  <c r="F45"/>
  <c r="G45"/>
  <c r="E44"/>
  <c r="F44"/>
  <c r="G44"/>
  <c r="E43"/>
  <c r="F43"/>
  <c r="G43"/>
  <c r="E42"/>
  <c r="F42"/>
  <c r="G42"/>
  <c r="E41"/>
  <c r="F41"/>
  <c r="G41"/>
  <c r="E40"/>
  <c r="F40"/>
  <c r="G40"/>
  <c r="E39"/>
  <c r="F39"/>
  <c r="G39"/>
  <c r="E38"/>
  <c r="F38"/>
  <c r="G38"/>
  <c r="E37"/>
  <c r="F37"/>
  <c r="G37"/>
  <c r="E36"/>
  <c r="F36"/>
  <c r="G36"/>
  <c r="E35"/>
  <c r="F35"/>
  <c r="G35"/>
  <c r="E34"/>
  <c r="F34"/>
  <c r="G34"/>
  <c r="E33"/>
  <c r="F33"/>
  <c r="G33"/>
  <c r="E32"/>
  <c r="F32"/>
  <c r="G32"/>
  <c r="E51" i="20"/>
  <c r="F51"/>
  <c r="G51"/>
  <c r="E50"/>
  <c r="F50"/>
  <c r="G50"/>
  <c r="E49"/>
  <c r="F49"/>
  <c r="G49"/>
  <c r="E48"/>
  <c r="F48"/>
  <c r="G48"/>
  <c r="E47"/>
  <c r="F47"/>
  <c r="G47"/>
  <c r="E46"/>
  <c r="F46"/>
  <c r="G46"/>
  <c r="E45"/>
  <c r="F45"/>
  <c r="G45"/>
  <c r="E44"/>
  <c r="F44"/>
  <c r="G44"/>
  <c r="E43"/>
  <c r="F43"/>
  <c r="G43"/>
  <c r="E42"/>
  <c r="F42"/>
  <c r="G42"/>
  <c r="E41"/>
  <c r="F41"/>
  <c r="G41"/>
  <c r="E40"/>
  <c r="F40"/>
  <c r="G40"/>
  <c r="E39"/>
  <c r="F39"/>
  <c r="G39"/>
  <c r="E38"/>
  <c r="F38"/>
  <c r="G38"/>
  <c r="E37"/>
  <c r="F37"/>
  <c r="G37"/>
  <c r="E36"/>
  <c r="F36"/>
  <c r="G36"/>
  <c r="E35"/>
  <c r="F35"/>
  <c r="G35"/>
  <c r="E34"/>
  <c r="F34"/>
  <c r="G34"/>
  <c r="E33"/>
  <c r="F33"/>
  <c r="G33"/>
  <c r="E32"/>
  <c r="F32"/>
  <c r="G32"/>
  <c r="E51" i="19"/>
  <c r="F51"/>
  <c r="G51"/>
  <c r="E50"/>
  <c r="F50"/>
  <c r="G50"/>
  <c r="E49"/>
  <c r="F49"/>
  <c r="G49"/>
  <c r="E48"/>
  <c r="F48"/>
  <c r="G48"/>
  <c r="E47"/>
  <c r="F47"/>
  <c r="G47"/>
  <c r="E46"/>
  <c r="F46"/>
  <c r="G46"/>
  <c r="E45"/>
  <c r="F45"/>
  <c r="G45"/>
  <c r="E44"/>
  <c r="F44"/>
  <c r="G44"/>
  <c r="E43"/>
  <c r="F43"/>
  <c r="G43"/>
  <c r="E42"/>
  <c r="F42"/>
  <c r="G42"/>
  <c r="E41"/>
  <c r="F41"/>
  <c r="G41"/>
  <c r="E40"/>
  <c r="F40"/>
  <c r="G40"/>
  <c r="E39"/>
  <c r="F39"/>
  <c r="G39"/>
  <c r="E38"/>
  <c r="F38"/>
  <c r="G38"/>
  <c r="E37"/>
  <c r="F37"/>
  <c r="G37"/>
  <c r="E36"/>
  <c r="F36"/>
  <c r="G36"/>
  <c r="E35"/>
  <c r="F35"/>
  <c r="G35"/>
  <c r="E34"/>
  <c r="F34"/>
  <c r="G34"/>
  <c r="E33"/>
  <c r="F33"/>
  <c r="G33"/>
  <c r="E32"/>
  <c r="F32"/>
  <c r="G32"/>
  <c r="M38" i="13"/>
  <c r="M37"/>
  <c r="L38"/>
  <c r="L37"/>
  <c r="Q48" i="5"/>
  <c r="Q47"/>
  <c r="P48"/>
  <c r="P47"/>
  <c r="Q47" i="1"/>
  <c r="O47"/>
  <c r="Q48"/>
  <c r="Q49"/>
  <c r="Q50"/>
  <c r="P50"/>
  <c r="P49"/>
  <c r="P48"/>
  <c r="P47"/>
  <c r="O50"/>
  <c r="O49"/>
  <c r="O48"/>
  <c r="H23" i="13"/>
  <c r="K38"/>
  <c r="K37"/>
  <c r="O40" i="4"/>
  <c r="P40"/>
  <c r="O41"/>
  <c r="Q38"/>
  <c r="P41"/>
  <c r="O39"/>
  <c r="O38"/>
  <c r="Q41"/>
  <c r="N41"/>
  <c r="Q40"/>
  <c r="N40"/>
  <c r="Q39"/>
  <c r="P39"/>
  <c r="N39"/>
  <c r="P38"/>
  <c r="O49" i="5"/>
  <c r="O48"/>
  <c r="O47"/>
  <c r="N46"/>
  <c r="N47"/>
  <c r="N48"/>
  <c r="N49"/>
  <c r="N50" i="1"/>
  <c r="N49"/>
  <c r="N48"/>
  <c r="N47"/>
  <c r="D27"/>
  <c r="E27"/>
  <c r="G27"/>
  <c r="H27"/>
  <c r="F27"/>
  <c r="H25" i="5"/>
  <c r="G25"/>
  <c r="F25"/>
  <c r="E25"/>
  <c r="D25"/>
  <c r="H25" i="4"/>
  <c r="G25"/>
  <c r="F25"/>
  <c r="E25"/>
  <c r="D25"/>
  <c r="H26" i="1"/>
  <c r="G26"/>
  <c r="F26"/>
  <c r="E26"/>
  <c r="D26"/>
</calcChain>
</file>

<file path=xl/sharedStrings.xml><?xml version="1.0" encoding="utf-8"?>
<sst xmlns="http://schemas.openxmlformats.org/spreadsheetml/2006/main" count="259" uniqueCount="38">
  <si>
    <t>Threads:</t>
  </si>
  <si>
    <t>operations/sec</t>
  </si>
  <si>
    <t>Latency (95%)</t>
  </si>
  <si>
    <t>Latency (99%)</t>
  </si>
  <si>
    <t>50% read , 50% write</t>
  </si>
  <si>
    <t>0% read , 100% write</t>
  </si>
  <si>
    <t>100% read , 0% write</t>
  </si>
  <si>
    <t>speedup</t>
  </si>
  <si>
    <t>RAW</t>
  </si>
  <si>
    <t>Threads=8</t>
  </si>
  <si>
    <t>Buffer Size(M):</t>
  </si>
  <si>
    <t>Threads=16</t>
  </si>
  <si>
    <t>bLSM</t>
  </si>
  <si>
    <t xml:space="preserve">writeBuffer=128MB </t>
  </si>
  <si>
    <t>LevelDB</t>
  </si>
  <si>
    <t>cLSM</t>
  </si>
  <si>
    <t>HyperLevelDB</t>
  </si>
  <si>
    <t>cLSM (w/o snaps)</t>
  </si>
  <si>
    <t>Latency (50%)</t>
  </si>
  <si>
    <t>cLSM + LS</t>
  </si>
  <si>
    <t>cLSM-LS</t>
  </si>
  <si>
    <t>Latency (90%)</t>
  </si>
  <si>
    <t>levelDB</t>
  </si>
  <si>
    <t>Hyper</t>
  </si>
  <si>
    <t>50% scans, 50% writes</t>
  </si>
  <si>
    <t>keys/sec</t>
  </si>
  <si>
    <t>%</t>
  </si>
  <si>
    <t>Write</t>
  </si>
  <si>
    <t>Read</t>
  </si>
  <si>
    <t xml:space="preserve"> Frequency Histogram</t>
  </si>
  <si>
    <t>Total Number of Threads</t>
  </si>
  <si>
    <t xml:space="preserve">cLSM </t>
  </si>
  <si>
    <t>LevelDB x4</t>
  </si>
  <si>
    <t>HyperLevelDB x4</t>
  </si>
  <si>
    <t>rocksDB</t>
  </si>
  <si>
    <t>rocksDB x 4</t>
  </si>
  <si>
    <t>Throughput/Latency(90%)</t>
  </si>
  <si>
    <t>cLSM (with old  parameters)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</si>
</sst>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.8000000000000007"/>
      <color rgb="FF555555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FF0000"/>
      <name val="Arial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5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/>
    <xf numFmtId="0" fontId="1" fillId="2" borderId="0" xfId="0" applyFont="1" applyFill="1"/>
    <xf numFmtId="0" fontId="0" fillId="3" borderId="0" xfId="0" applyFill="1"/>
    <xf numFmtId="0" fontId="0" fillId="0" borderId="0" xfId="0" applyNumberFormat="1"/>
    <xf numFmtId="0" fontId="0" fillId="0" borderId="0" xfId="0" applyFill="1"/>
    <xf numFmtId="0" fontId="2" fillId="0" borderId="0" xfId="0" applyFont="1" applyFill="1" applyAlignment="1">
      <alignment horizontal="center"/>
    </xf>
    <xf numFmtId="0" fontId="1" fillId="0" borderId="0" xfId="0" applyFont="1"/>
    <xf numFmtId="0" fontId="0" fillId="2" borderId="0" xfId="0" applyFill="1"/>
    <xf numFmtId="0" fontId="7" fillId="4" borderId="0" xfId="0" applyFont="1" applyFill="1"/>
    <xf numFmtId="0" fontId="8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9" fillId="5" borderId="0" xfId="51"/>
    <xf numFmtId="0" fontId="10" fillId="6" borderId="0" xfId="52"/>
    <xf numFmtId="0" fontId="0" fillId="0" borderId="0" xfId="0"/>
    <xf numFmtId="0" fontId="2" fillId="2" borderId="0" xfId="0" applyFont="1" applyFill="1"/>
    <xf numFmtId="0" fontId="3" fillId="0" borderId="0" xfId="0" applyFont="1"/>
    <xf numFmtId="21" fontId="0" fillId="0" borderId="0" xfId="0" applyNumberFormat="1"/>
    <xf numFmtId="21" fontId="0" fillId="0" borderId="0" xfId="0" applyNumberFormat="1" applyFill="1"/>
  </cellXfs>
  <cellStyles count="53">
    <cellStyle name="Bad" xfId="52" builtinId="27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Good" xfId="51" builtinId="26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Write</a:t>
            </a:r>
            <a:r>
              <a:rPr lang="en-US" sz="1800" baseline="0"/>
              <a:t> Throughput</a:t>
            </a:r>
            <a:endParaRPr lang="en-US" sz="1800"/>
          </a:p>
        </c:rich>
      </c:tx>
      <c:layout>
        <c:manualLayout>
          <c:xMode val="edge"/>
          <c:yMode val="edge"/>
          <c:x val="0.29579347883528001"/>
          <c:y val="5.8690744920993403E-2"/>
        </c:manualLayout>
      </c:layout>
    </c:title>
    <c:plotArea>
      <c:layout/>
      <c:barChart>
        <c:barDir val="col"/>
        <c:grouping val="clustered"/>
        <c:ser>
          <c:idx val="4"/>
          <c:order val="0"/>
          <c:tx>
            <c:strRef>
              <c:f>'0% read , 100% write'!$C$24</c:f>
              <c:strCache>
                <c:ptCount val="1"/>
                <c:pt idx="0">
                  <c:v>rocksDB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</c:spPr>
          <c:val>
            <c:numRef>
              <c:f>'0% read , 100% write'!$D$24:$H$24</c:f>
              <c:numCache>
                <c:formatCode>General</c:formatCode>
                <c:ptCount val="5"/>
                <c:pt idx="0">
                  <c:v>60976</c:v>
                </c:pt>
                <c:pt idx="1">
                  <c:v>39213</c:v>
                </c:pt>
                <c:pt idx="2">
                  <c:v>39159</c:v>
                </c:pt>
                <c:pt idx="3">
                  <c:v>55555</c:v>
                </c:pt>
                <c:pt idx="4">
                  <c:v>65482</c:v>
                </c:pt>
              </c:numCache>
            </c:numRef>
          </c:val>
        </c:ser>
        <c:ser>
          <c:idx val="2"/>
          <c:order val="1"/>
          <c:tx>
            <c:strRef>
              <c:f>'0% read , 100% write'!$C$34</c:f>
              <c:strCache>
                <c:ptCount val="1"/>
                <c:pt idx="0">
                  <c:v>bLSM</c:v>
                </c:pt>
              </c:strCache>
            </c:strRef>
          </c:tx>
          <c:spPr>
            <a:pattFill prst="ltUpDiag">
              <a:fgClr>
                <a:schemeClr val="tx1"/>
              </a:fgClr>
              <a:bgClr>
                <a:prstClr val="white"/>
              </a:bgClr>
            </a:pattFill>
            <a:ln>
              <a:solidFill>
                <a:schemeClr val="tx1"/>
              </a:solidFill>
            </a:ln>
          </c:spPr>
          <c:cat>
            <c:numRef>
              <c:f>'0% read , 100% write'!$D$19:$H$19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'0% read , 100% write'!$D$23:$H$23</c:f>
              <c:numCache>
                <c:formatCode>General</c:formatCode>
                <c:ptCount val="5"/>
                <c:pt idx="0">
                  <c:v>99289</c:v>
                </c:pt>
                <c:pt idx="1">
                  <c:v>107074</c:v>
                </c:pt>
                <c:pt idx="2">
                  <c:v>78031</c:v>
                </c:pt>
                <c:pt idx="3">
                  <c:v>74816</c:v>
                </c:pt>
                <c:pt idx="4">
                  <c:v>72509</c:v>
                </c:pt>
              </c:numCache>
            </c:numRef>
          </c:val>
        </c:ser>
        <c:ser>
          <c:idx val="0"/>
          <c:order val="2"/>
          <c:tx>
            <c:strRef>
              <c:f>'0% read , 100% write'!$C$20</c:f>
              <c:strCache>
                <c:ptCount val="1"/>
                <c:pt idx="0">
                  <c:v>LevelDB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cat>
            <c:numRef>
              <c:f>'0% read , 100% write'!$D$19:$H$19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'0% read , 100% write'!$D$20:$H$20</c:f>
              <c:numCache>
                <c:formatCode>General</c:formatCode>
                <c:ptCount val="5"/>
                <c:pt idx="0">
                  <c:v>162994</c:v>
                </c:pt>
                <c:pt idx="1">
                  <c:v>93076</c:v>
                </c:pt>
                <c:pt idx="2">
                  <c:v>80547</c:v>
                </c:pt>
                <c:pt idx="3">
                  <c:v>92364</c:v>
                </c:pt>
                <c:pt idx="4">
                  <c:v>95739</c:v>
                </c:pt>
              </c:numCache>
            </c:numRef>
          </c:val>
        </c:ser>
        <c:ser>
          <c:idx val="1"/>
          <c:order val="3"/>
          <c:tx>
            <c:strRef>
              <c:f>'0% read , 100% write'!$C$22</c:f>
              <c:strCache>
                <c:ptCount val="1"/>
                <c:pt idx="0">
                  <c:v>HyperLevelDB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tx1"/>
              </a:solidFill>
            </a:ln>
          </c:spPr>
          <c:cat>
            <c:numRef>
              <c:f>'0% read , 100% write'!$D$19:$H$19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'0% read , 100% write'!$D$22:$H$22</c:f>
              <c:numCache>
                <c:formatCode>General</c:formatCode>
                <c:ptCount val="5"/>
                <c:pt idx="0">
                  <c:v>178284</c:v>
                </c:pt>
                <c:pt idx="1">
                  <c:v>218273</c:v>
                </c:pt>
                <c:pt idx="2">
                  <c:v>236788</c:v>
                </c:pt>
                <c:pt idx="3">
                  <c:v>204397</c:v>
                </c:pt>
                <c:pt idx="4">
                  <c:v>47082</c:v>
                </c:pt>
              </c:numCache>
            </c:numRef>
          </c:val>
        </c:ser>
        <c:ser>
          <c:idx val="3"/>
          <c:order val="4"/>
          <c:tx>
            <c:strRef>
              <c:f>'0% read , 100% write'!$C$21</c:f>
              <c:strCache>
                <c:ptCount val="1"/>
                <c:pt idx="0">
                  <c:v>cLSM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cat>
            <c:numRef>
              <c:f>'0% read , 100% write'!$D$19:$H$19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'0% read , 100% write'!$D$21:$H$21</c:f>
              <c:numCache>
                <c:formatCode>General</c:formatCode>
                <c:ptCount val="5"/>
                <c:pt idx="0">
                  <c:v>173506</c:v>
                </c:pt>
                <c:pt idx="1">
                  <c:v>246617</c:v>
                </c:pt>
                <c:pt idx="2">
                  <c:v>333371</c:v>
                </c:pt>
                <c:pt idx="3">
                  <c:v>431060</c:v>
                </c:pt>
                <c:pt idx="4">
                  <c:v>386918</c:v>
                </c:pt>
              </c:numCache>
            </c:numRef>
          </c:val>
        </c:ser>
        <c:axId val="127822080"/>
        <c:axId val="127849216"/>
      </c:barChart>
      <c:catAx>
        <c:axId val="127822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Worker threads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27849216"/>
        <c:crosses val="autoZero"/>
        <c:auto val="1"/>
        <c:lblAlgn val="ctr"/>
        <c:lblOffset val="100"/>
      </c:catAx>
      <c:valAx>
        <c:axId val="127849216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ops/sec x 10</a:t>
                </a:r>
                <a:r>
                  <a:rPr lang="en-US" sz="1400" baseline="30000"/>
                  <a:t>3</a:t>
                </a:r>
              </a:p>
            </c:rich>
          </c:tx>
          <c:layout>
            <c:manualLayout>
              <c:xMode val="edge"/>
              <c:yMode val="edge"/>
              <c:x val="1.7897091722595106E-2"/>
              <c:y val="0.29223327571858393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27822080"/>
        <c:crosses val="autoZero"/>
        <c:crossBetween val="between"/>
        <c:dispUnits>
          <c:builtInUnit val="thousands"/>
        </c:dispUnits>
      </c:valAx>
    </c:plotArea>
    <c:legend>
      <c:legendPos val="r"/>
      <c:layout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</c:chart>
  <c:printSettings>
    <c:headerFooter/>
    <c:pageMargins b="1" l="0.75000000000000278" r="0.75000000000000278" t="1" header="0.5" footer="0.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Write Latency (8 threads)</a:t>
            </a:r>
            <a:r>
              <a:rPr lang="en-US" sz="2000" baseline="0"/>
              <a:t> </a:t>
            </a:r>
            <a:endParaRPr lang="en-US" sz="2000"/>
          </a:p>
        </c:rich>
      </c:tx>
      <c:layout>
        <c:manualLayout>
          <c:xMode val="edge"/>
          <c:yMode val="edge"/>
          <c:x val="0.26380352856962402"/>
          <c:y val="3.2407423573162016E-2"/>
        </c:manualLayout>
      </c:layout>
    </c:title>
    <c:plotArea>
      <c:layout>
        <c:manualLayout>
          <c:layoutTarget val="inner"/>
          <c:xMode val="edge"/>
          <c:yMode val="edge"/>
          <c:x val="0.14637437365783801"/>
          <c:y val="6.0575099952860624E-2"/>
          <c:w val="0.64546587926509524"/>
          <c:h val="0.82246937882764137"/>
        </c:manualLayout>
      </c:layout>
      <c:barChart>
        <c:barDir val="col"/>
        <c:grouping val="stacked"/>
        <c:ser>
          <c:idx val="0"/>
          <c:order val="0"/>
          <c:tx>
            <c:v>50% (median)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cat>
            <c:strRef>
              <c:f>'0% read , 100% write'!$N$47:$N$51</c:f>
              <c:strCache>
                <c:ptCount val="5"/>
                <c:pt idx="0">
                  <c:v>cLSM</c:v>
                </c:pt>
                <c:pt idx="1">
                  <c:v>HyperLevelDB</c:v>
                </c:pt>
                <c:pt idx="2">
                  <c:v>LevelDB</c:v>
                </c:pt>
                <c:pt idx="3">
                  <c:v>bLSM</c:v>
                </c:pt>
                <c:pt idx="4">
                  <c:v>rocksDB</c:v>
                </c:pt>
              </c:strCache>
            </c:strRef>
          </c:cat>
          <c:val>
            <c:numRef>
              <c:f>'0% read , 100% write'!$O$47:$O$51</c:f>
              <c:numCache>
                <c:formatCode>General</c:formatCode>
                <c:ptCount val="5"/>
                <c:pt idx="0">
                  <c:v>15</c:v>
                </c:pt>
                <c:pt idx="1">
                  <c:v>36</c:v>
                </c:pt>
                <c:pt idx="2">
                  <c:v>77</c:v>
                </c:pt>
                <c:pt idx="3">
                  <c:v>101</c:v>
                </c:pt>
                <c:pt idx="4">
                  <c:v>108</c:v>
                </c:pt>
              </c:numCache>
            </c:numRef>
          </c:val>
        </c:ser>
        <c:ser>
          <c:idx val="1"/>
          <c:order val="1"/>
          <c:tx>
            <c:v>90%</c:v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tx1"/>
              </a:solidFill>
            </a:ln>
          </c:spPr>
          <c:cat>
            <c:strRef>
              <c:f>'0% read , 100% write'!$N$47:$N$51</c:f>
              <c:strCache>
                <c:ptCount val="5"/>
                <c:pt idx="0">
                  <c:v>cLSM</c:v>
                </c:pt>
                <c:pt idx="1">
                  <c:v>HyperLevelDB</c:v>
                </c:pt>
                <c:pt idx="2">
                  <c:v>LevelDB</c:v>
                </c:pt>
                <c:pt idx="3">
                  <c:v>bLSM</c:v>
                </c:pt>
                <c:pt idx="4">
                  <c:v>rocksDB</c:v>
                </c:pt>
              </c:strCache>
            </c:strRef>
          </c:cat>
          <c:val>
            <c:numRef>
              <c:f>'0% read , 100% write'!$P$47:$P$51</c:f>
              <c:numCache>
                <c:formatCode>General</c:formatCode>
                <c:ptCount val="5"/>
                <c:pt idx="0">
                  <c:v>16</c:v>
                </c:pt>
                <c:pt idx="1">
                  <c:v>15</c:v>
                </c:pt>
                <c:pt idx="2">
                  <c:v>20</c:v>
                </c:pt>
                <c:pt idx="3">
                  <c:v>104</c:v>
                </c:pt>
                <c:pt idx="4">
                  <c:v>25</c:v>
                </c:pt>
              </c:numCache>
            </c:numRef>
          </c:val>
        </c:ser>
        <c:ser>
          <c:idx val="2"/>
          <c:order val="2"/>
          <c:tx>
            <c:v>99%</c:v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cat>
            <c:strRef>
              <c:f>'0% read , 100% write'!$N$47:$N$51</c:f>
              <c:strCache>
                <c:ptCount val="5"/>
                <c:pt idx="0">
                  <c:v>cLSM</c:v>
                </c:pt>
                <c:pt idx="1">
                  <c:v>HyperLevelDB</c:v>
                </c:pt>
                <c:pt idx="2">
                  <c:v>LevelDB</c:v>
                </c:pt>
                <c:pt idx="3">
                  <c:v>bLSM</c:v>
                </c:pt>
                <c:pt idx="4">
                  <c:v>rocksDB</c:v>
                </c:pt>
              </c:strCache>
            </c:strRef>
          </c:cat>
          <c:val>
            <c:numRef>
              <c:f>'0% read , 100% write'!$Q$47:$Q$51</c:f>
              <c:numCache>
                <c:formatCode>General</c:formatCode>
                <c:ptCount val="5"/>
                <c:pt idx="0">
                  <c:v>35</c:v>
                </c:pt>
                <c:pt idx="1">
                  <c:v>38</c:v>
                </c:pt>
                <c:pt idx="2">
                  <c:v>40</c:v>
                </c:pt>
                <c:pt idx="3">
                  <c:v>141</c:v>
                </c:pt>
                <c:pt idx="4">
                  <c:v>26</c:v>
                </c:pt>
              </c:numCache>
            </c:numRef>
          </c:val>
        </c:ser>
        <c:overlap val="100"/>
        <c:axId val="127736448"/>
        <c:axId val="127754624"/>
      </c:barChart>
      <c:catAx>
        <c:axId val="127736448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27754624"/>
        <c:crosses val="autoZero"/>
        <c:auto val="1"/>
        <c:lblAlgn val="ctr"/>
        <c:lblOffset val="100"/>
      </c:catAx>
      <c:valAx>
        <c:axId val="127754624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Latency (</a:t>
                </a:r>
                <a:r>
                  <a:rPr lang="el-GR" sz="1400" b="0" i="0" u="none" strike="noStrike" baseline="0">
                    <a:effectLst/>
                  </a:rPr>
                  <a:t>μ</a:t>
                </a:r>
                <a:r>
                  <a:rPr lang="el-GR" sz="1400" b="1" i="0" u="none" strike="noStrike" baseline="0"/>
                  <a:t> </a:t>
                </a:r>
                <a:r>
                  <a:rPr lang="en-US" sz="1400" b="1" i="0" u="none" strike="noStrike" baseline="0"/>
                  <a:t>sec</a:t>
                </a:r>
                <a:r>
                  <a:rPr lang="en-US" sz="1400"/>
                  <a:t>)</a:t>
                </a:r>
              </a:p>
            </c:rich>
          </c:tx>
          <c:layout>
            <c:manualLayout>
              <c:xMode val="edge"/>
              <c:yMode val="edge"/>
              <c:x val="2.8384353025390579E-3"/>
              <c:y val="0.25733575431674099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27736448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</c:chart>
  <c:printSettings>
    <c:headerFooter/>
    <c:pageMargins b="1" l="0.75000000000000278" r="0.75000000000000278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Throughput vs. Latency (100% </a:t>
            </a:r>
            <a:r>
              <a:rPr lang="en-US" sz="1800" b="1" i="0" u="none" strike="noStrike" baseline="0"/>
              <a:t>Write)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4467482755520161"/>
          <c:y val="0.13006849460150091"/>
          <c:w val="0.628452984975573"/>
          <c:h val="0.74863713651357611"/>
        </c:manualLayout>
      </c:layout>
      <c:scatterChart>
        <c:scatterStyle val="smoothMarker"/>
        <c:ser>
          <c:idx val="4"/>
          <c:order val="0"/>
          <c:tx>
            <c:strRef>
              <c:f>'0% read , 100% write'!$C$75</c:f>
              <c:strCache>
                <c:ptCount val="1"/>
                <c:pt idx="0">
                  <c:v>rocksDB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circle"/>
            <c:size val="12"/>
            <c:spPr>
              <a:noFill/>
              <a:ln w="12700">
                <a:solidFill>
                  <a:prstClr val="black"/>
                </a:solidFill>
              </a:ln>
            </c:spPr>
          </c:marker>
          <c:dLbls>
            <c:dLbl>
              <c:idx val="0"/>
              <c:layout>
                <c:manualLayout>
                  <c:x val="-2.5974025974026024E-2"/>
                  <c:y val="-4.481792717086852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showVal val="1"/>
            </c:dLbl>
            <c:showVal val="1"/>
          </c:dLbls>
          <c:xVal>
            <c:numRef>
              <c:f>'0% read , 100% write'!$D$75</c:f>
              <c:numCache>
                <c:formatCode>General</c:formatCode>
                <c:ptCount val="1"/>
                <c:pt idx="0">
                  <c:v>60976</c:v>
                </c:pt>
              </c:numCache>
            </c:numRef>
          </c:xVal>
          <c:yVal>
            <c:numRef>
              <c:f>'0% read , 100% write'!$D$76</c:f>
              <c:numCache>
                <c:formatCode>General</c:formatCode>
                <c:ptCount val="1"/>
                <c:pt idx="0">
                  <c:v>13</c:v>
                </c:pt>
              </c:numCache>
            </c:numRef>
          </c:yVal>
          <c:smooth val="1"/>
        </c:ser>
        <c:ser>
          <c:idx val="3"/>
          <c:order val="1"/>
          <c:tx>
            <c:strRef>
              <c:f>'0% read , 100% write'!$C$73</c:f>
              <c:strCache>
                <c:ptCount val="1"/>
                <c:pt idx="0">
                  <c:v>bLSM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x"/>
            <c:size val="12"/>
            <c:spPr>
              <a:ln w="12700">
                <a:solidFill>
                  <a:prstClr val="black"/>
                </a:solidFill>
              </a:ln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showVal val="1"/>
            </c:dLbl>
            <c:showVal val="1"/>
          </c:dLbls>
          <c:xVal>
            <c:numRef>
              <c:f>'0% read , 100% write'!$D$73:$E$73</c:f>
              <c:numCache>
                <c:formatCode>General</c:formatCode>
                <c:ptCount val="2"/>
                <c:pt idx="0">
                  <c:v>99289</c:v>
                </c:pt>
                <c:pt idx="1">
                  <c:v>107074</c:v>
                </c:pt>
              </c:numCache>
            </c:numRef>
          </c:xVal>
          <c:yVal>
            <c:numRef>
              <c:f>'0% read , 100% write'!$D$74:$E$74</c:f>
              <c:numCache>
                <c:formatCode>General</c:formatCode>
                <c:ptCount val="2"/>
                <c:pt idx="0">
                  <c:v>12</c:v>
                </c:pt>
                <c:pt idx="1">
                  <c:v>30</c:v>
                </c:pt>
              </c:numCache>
            </c:numRef>
          </c:yVal>
          <c:smooth val="1"/>
        </c:ser>
        <c:ser>
          <c:idx val="0"/>
          <c:order val="2"/>
          <c:tx>
            <c:strRef>
              <c:f>'0% read , 100% write'!$C$67</c:f>
              <c:strCache>
                <c:ptCount val="1"/>
                <c:pt idx="0">
                  <c:v>LevelDB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diamond"/>
            <c:size val="12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</c:spPr>
          </c:marker>
          <c:dLbls>
            <c:dLbl>
              <c:idx val="0"/>
              <c:layout>
                <c:manualLayout>
                  <c:x val="-2.8138528138528133E-2"/>
                  <c:y val="-3.734827264239029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showVal val="1"/>
            </c:dLbl>
            <c:showVal val="1"/>
          </c:dLbls>
          <c:xVal>
            <c:numRef>
              <c:f>'0% read , 100% write'!$D$67</c:f>
              <c:numCache>
                <c:formatCode>General</c:formatCode>
                <c:ptCount val="1"/>
                <c:pt idx="0">
                  <c:v>162994</c:v>
                </c:pt>
              </c:numCache>
            </c:numRef>
          </c:xVal>
          <c:yVal>
            <c:numRef>
              <c:f>'0% read , 100% write'!$D$68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1"/>
        </c:ser>
        <c:ser>
          <c:idx val="2"/>
          <c:order val="3"/>
          <c:tx>
            <c:strRef>
              <c:f>'0% read , 100% write'!$C$71</c:f>
              <c:strCache>
                <c:ptCount val="1"/>
                <c:pt idx="0">
                  <c:v>HyperLevelDB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triangle"/>
            <c:size val="12"/>
            <c:spPr>
              <a:noFill/>
              <a:ln w="12700">
                <a:solidFill>
                  <a:prstClr val="black"/>
                </a:solidFill>
              </a:ln>
            </c:spPr>
          </c:marker>
          <c:dLbls>
            <c:dLbl>
              <c:idx val="0"/>
              <c:layout>
                <c:manualLayout>
                  <c:x val="-6.2922077922078073E-2"/>
                  <c:y val="3.734827264239036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r"/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l"/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4</a:t>
                    </a:r>
                  </a:p>
                </c:rich>
              </c:tx>
              <c:dLblPos val="l"/>
              <c:showVal val="1"/>
            </c:dLbl>
            <c:dLblPos val="l"/>
            <c:showVal val="1"/>
          </c:dLbls>
          <c:xVal>
            <c:numRef>
              <c:f>'0% read , 100% write'!$D$71:$F$71</c:f>
              <c:numCache>
                <c:formatCode>General</c:formatCode>
                <c:ptCount val="3"/>
                <c:pt idx="0">
                  <c:v>178284</c:v>
                </c:pt>
                <c:pt idx="1">
                  <c:v>218273</c:v>
                </c:pt>
                <c:pt idx="2">
                  <c:v>236788</c:v>
                </c:pt>
              </c:numCache>
            </c:numRef>
          </c:xVal>
          <c:yVal>
            <c:numRef>
              <c:f>'0% read , 100% write'!$D$72:$F$72</c:f>
              <c:numCache>
                <c:formatCode>General</c:formatCode>
                <c:ptCount val="3"/>
                <c:pt idx="0">
                  <c:v>7</c:v>
                </c:pt>
                <c:pt idx="1">
                  <c:v>12</c:v>
                </c:pt>
                <c:pt idx="2">
                  <c:v>24</c:v>
                </c:pt>
              </c:numCache>
            </c:numRef>
          </c:yVal>
          <c:smooth val="1"/>
        </c:ser>
        <c:ser>
          <c:idx val="1"/>
          <c:order val="4"/>
          <c:tx>
            <c:strRef>
              <c:f>'0% read , 100% write'!$C$69</c:f>
              <c:strCache>
                <c:ptCount val="1"/>
                <c:pt idx="0">
                  <c:v>cLSM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square"/>
            <c:size val="12"/>
            <c:spPr>
              <a:solidFill>
                <a:sysClr val="windowText" lastClr="000000"/>
              </a:solidFill>
              <a:ln w="12700">
                <a:solidFill>
                  <a:prstClr val="black"/>
                </a:solidFill>
              </a:ln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4</a:t>
                    </a:r>
                  </a:p>
                </c:rich>
              </c:tx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8</a:t>
                    </a:r>
                  </a:p>
                </c:rich>
              </c:tx>
              <c:showVal val="1"/>
            </c:dLbl>
            <c:showVal val="1"/>
          </c:dLbls>
          <c:xVal>
            <c:numRef>
              <c:f>'0% read , 100% write'!$D$69:$G$69</c:f>
              <c:numCache>
                <c:formatCode>General</c:formatCode>
                <c:ptCount val="4"/>
                <c:pt idx="0">
                  <c:v>173506</c:v>
                </c:pt>
                <c:pt idx="1">
                  <c:v>246617</c:v>
                </c:pt>
                <c:pt idx="2">
                  <c:v>333371</c:v>
                </c:pt>
                <c:pt idx="3">
                  <c:v>431060</c:v>
                </c:pt>
              </c:numCache>
            </c:numRef>
          </c:xVal>
          <c:yVal>
            <c:numRef>
              <c:f>'0% read , 100% write'!$D$70:$G$70</c:f>
              <c:numCache>
                <c:formatCode>General</c:formatCode>
                <c:ptCount val="4"/>
                <c:pt idx="0">
                  <c:v>8</c:v>
                </c:pt>
                <c:pt idx="1">
                  <c:v>12</c:v>
                </c:pt>
                <c:pt idx="2">
                  <c:v>18</c:v>
                </c:pt>
                <c:pt idx="3">
                  <c:v>31</c:v>
                </c:pt>
              </c:numCache>
            </c:numRef>
          </c:yVal>
          <c:smooth val="1"/>
        </c:ser>
        <c:axId val="128370560"/>
        <c:axId val="127877120"/>
      </c:scatterChart>
      <c:valAx>
        <c:axId val="1283705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 b="1" i="0" u="none" strike="noStrike" baseline="0"/>
                  <a:t>Throughput (</a:t>
                </a:r>
                <a:r>
                  <a:rPr lang="en-US" sz="1400" b="1" i="0" baseline="0"/>
                  <a:t>ops/sec x 10</a:t>
                </a:r>
                <a:r>
                  <a:rPr lang="en-US" sz="1400" b="1" i="0" baseline="30000"/>
                  <a:t>3</a:t>
                </a:r>
                <a:r>
                  <a:rPr lang="en-US" sz="1400" b="1" i="0" u="none" strike="noStrike" baseline="0"/>
                  <a:t>)</a:t>
                </a:r>
                <a:endParaRPr lang="en-US" sz="1400" b="1" i="0" baseline="0"/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27877120"/>
        <c:crosses val="autoZero"/>
        <c:crossBetween val="midCat"/>
      </c:valAx>
      <c:valAx>
        <c:axId val="12787712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 b="1" i="0" baseline="0"/>
                  <a:t>90% Latency (</a:t>
                </a:r>
                <a:r>
                  <a:rPr lang="el-GR" sz="1400" b="0" i="0" baseline="0"/>
                  <a:t>μ</a:t>
                </a:r>
                <a:r>
                  <a:rPr lang="el-GR" sz="1400" b="1" i="0" baseline="0"/>
                  <a:t> </a:t>
                </a:r>
                <a:r>
                  <a:rPr lang="en-US" sz="1400" b="1" i="0" baseline="0"/>
                  <a:t>sec)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1.9023348019507402E-2"/>
              <c:y val="0.381536545538222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283705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5934747145187786"/>
          <c:y val="0.28048173445199504"/>
          <c:w val="0.23847743338771113"/>
          <c:h val="0.35030911149580946"/>
        </c:manualLayout>
      </c:layout>
      <c:txPr>
        <a:bodyPr/>
        <a:lstStyle/>
        <a:p>
          <a:pPr>
            <a:defRPr sz="1400"/>
          </a:pPr>
          <a:endParaRPr lang="en-US"/>
        </a:p>
      </c:txPr>
    </c:legend>
    <c:plotVisOnly val="1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Read Throughput</a:t>
            </a:r>
          </a:p>
        </c:rich>
      </c:tx>
    </c:title>
    <c:plotArea>
      <c:layout/>
      <c:barChart>
        <c:barDir val="col"/>
        <c:grouping val="clustered"/>
        <c:ser>
          <c:idx val="4"/>
          <c:order val="0"/>
          <c:tx>
            <c:strRef>
              <c:f>'100% read , 0% write'!$C$24</c:f>
              <c:strCache>
                <c:ptCount val="1"/>
                <c:pt idx="0">
                  <c:v>rocksDB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</c:spPr>
          <c:val>
            <c:numRef>
              <c:f>'100% read , 0% write'!$D$24:$K$24</c:f>
              <c:numCache>
                <c:formatCode>General</c:formatCode>
                <c:ptCount val="8"/>
                <c:pt idx="0">
                  <c:v>32414</c:v>
                </c:pt>
                <c:pt idx="1">
                  <c:v>77658</c:v>
                </c:pt>
                <c:pt idx="2">
                  <c:v>155738</c:v>
                </c:pt>
                <c:pt idx="3">
                  <c:v>321824</c:v>
                </c:pt>
                <c:pt idx="4">
                  <c:v>360600</c:v>
                </c:pt>
                <c:pt idx="5">
                  <c:v>398371</c:v>
                </c:pt>
                <c:pt idx="6">
                  <c:v>594495</c:v>
                </c:pt>
                <c:pt idx="7">
                  <c:v>662128</c:v>
                </c:pt>
              </c:numCache>
            </c:numRef>
          </c:val>
        </c:ser>
        <c:ser>
          <c:idx val="2"/>
          <c:order val="1"/>
          <c:tx>
            <c:strRef>
              <c:f>'0% read , 100% write'!$C$34</c:f>
              <c:strCache>
                <c:ptCount val="1"/>
                <c:pt idx="0">
                  <c:v>bLSM</c:v>
                </c:pt>
              </c:strCache>
            </c:strRef>
          </c:tx>
          <c:spPr>
            <a:pattFill prst="ltUpDiag">
              <a:fgClr>
                <a:schemeClr val="tx1"/>
              </a:fgClr>
              <a:bgClr>
                <a:prstClr val="white"/>
              </a:bgClr>
            </a:pattFill>
            <a:ln>
              <a:solidFill>
                <a:schemeClr val="tx1"/>
              </a:solidFill>
            </a:ln>
          </c:spPr>
          <c:cat>
            <c:numRef>
              <c:f>'100% read , 0% write'!$D$19:$K$19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cat>
          <c:val>
            <c:numRef>
              <c:f>'100% read , 0% write'!$D$23:$K$23</c:f>
              <c:numCache>
                <c:formatCode>General</c:formatCode>
                <c:ptCount val="8"/>
                <c:pt idx="0">
                  <c:v>226853</c:v>
                </c:pt>
                <c:pt idx="1">
                  <c:v>277069</c:v>
                </c:pt>
                <c:pt idx="2">
                  <c:v>289782</c:v>
                </c:pt>
                <c:pt idx="3">
                  <c:v>307211</c:v>
                </c:pt>
                <c:pt idx="4">
                  <c:v>266682</c:v>
                </c:pt>
                <c:pt idx="5">
                  <c:v>240013.80000000002</c:v>
                </c:pt>
                <c:pt idx="6">
                  <c:v>216012.42</c:v>
                </c:pt>
                <c:pt idx="7">
                  <c:v>194411.17800000001</c:v>
                </c:pt>
              </c:numCache>
            </c:numRef>
          </c:val>
        </c:ser>
        <c:ser>
          <c:idx val="0"/>
          <c:order val="2"/>
          <c:tx>
            <c:strRef>
              <c:f>'0% read , 100% write'!$C$20</c:f>
              <c:strCache>
                <c:ptCount val="1"/>
                <c:pt idx="0">
                  <c:v>LevelDB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cat>
            <c:numRef>
              <c:f>'100% read , 0% write'!$D$19:$K$19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cat>
          <c:val>
            <c:numRef>
              <c:f>'100% read , 0% write'!$D$20:$K$20</c:f>
              <c:numCache>
                <c:formatCode>General</c:formatCode>
                <c:ptCount val="8"/>
                <c:pt idx="0">
                  <c:v>79765</c:v>
                </c:pt>
                <c:pt idx="1">
                  <c:v>225984</c:v>
                </c:pt>
                <c:pt idx="2">
                  <c:v>450297</c:v>
                </c:pt>
                <c:pt idx="3">
                  <c:v>704193</c:v>
                </c:pt>
                <c:pt idx="4">
                  <c:v>639229</c:v>
                </c:pt>
                <c:pt idx="5">
                  <c:v>692164</c:v>
                </c:pt>
                <c:pt idx="6">
                  <c:v>696921</c:v>
                </c:pt>
                <c:pt idx="7">
                  <c:v>703077</c:v>
                </c:pt>
              </c:numCache>
            </c:numRef>
          </c:val>
        </c:ser>
        <c:ser>
          <c:idx val="1"/>
          <c:order val="3"/>
          <c:tx>
            <c:strRef>
              <c:f>'0% read , 100% write'!$C$22</c:f>
              <c:strCache>
                <c:ptCount val="1"/>
                <c:pt idx="0">
                  <c:v>HyperLevelDB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tx1"/>
              </a:solidFill>
            </a:ln>
          </c:spPr>
          <c:cat>
            <c:numRef>
              <c:f>'100% read , 0% write'!$D$19:$K$19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cat>
          <c:val>
            <c:numRef>
              <c:f>'100% read , 0% write'!$D$22:$K$22</c:f>
              <c:numCache>
                <c:formatCode>General</c:formatCode>
                <c:ptCount val="8"/>
                <c:pt idx="0">
                  <c:v>114603</c:v>
                </c:pt>
                <c:pt idx="1">
                  <c:v>236532</c:v>
                </c:pt>
                <c:pt idx="2">
                  <c:v>456711</c:v>
                </c:pt>
                <c:pt idx="3">
                  <c:v>761962</c:v>
                </c:pt>
                <c:pt idx="4">
                  <c:v>643516</c:v>
                </c:pt>
                <c:pt idx="5">
                  <c:v>45675</c:v>
                </c:pt>
                <c:pt idx="6">
                  <c:v>9664</c:v>
                </c:pt>
                <c:pt idx="7">
                  <c:v>9628</c:v>
                </c:pt>
              </c:numCache>
            </c:numRef>
          </c:val>
        </c:ser>
        <c:ser>
          <c:idx val="3"/>
          <c:order val="4"/>
          <c:tx>
            <c:strRef>
              <c:f>'0% read , 100% write'!$C$21</c:f>
              <c:strCache>
                <c:ptCount val="1"/>
                <c:pt idx="0">
                  <c:v>cLSM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cat>
            <c:numRef>
              <c:f>'100% read , 0% write'!$D$19:$K$19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cat>
          <c:val>
            <c:numRef>
              <c:f>'100% read , 0% write'!$D$21:$K$21</c:f>
              <c:numCache>
                <c:formatCode>General</c:formatCode>
                <c:ptCount val="8"/>
                <c:pt idx="0">
                  <c:v>102880</c:v>
                </c:pt>
                <c:pt idx="1">
                  <c:v>223955</c:v>
                </c:pt>
                <c:pt idx="2">
                  <c:v>441842</c:v>
                </c:pt>
                <c:pt idx="3">
                  <c:v>851114</c:v>
                </c:pt>
                <c:pt idx="4">
                  <c:v>1249275</c:v>
                </c:pt>
                <c:pt idx="5">
                  <c:v>1448900</c:v>
                </c:pt>
                <c:pt idx="6">
                  <c:v>1577768</c:v>
                </c:pt>
                <c:pt idx="7">
                  <c:v>1772068</c:v>
                </c:pt>
              </c:numCache>
            </c:numRef>
          </c:val>
        </c:ser>
        <c:axId val="128764928"/>
        <c:axId val="128390272"/>
      </c:barChart>
      <c:catAx>
        <c:axId val="1287649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Worker Threads</a:t>
                </a:r>
              </a:p>
            </c:rich>
          </c:tx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28390272"/>
        <c:crosses val="autoZero"/>
        <c:auto val="1"/>
        <c:lblAlgn val="ctr"/>
        <c:lblOffset val="100"/>
      </c:catAx>
      <c:valAx>
        <c:axId val="128390272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28764928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2.2371364653243919E-2"/>
                <c:y val="0.33860045146727025"/>
              </c:manualLayout>
            </c:layout>
            <c:tx>
              <c:rich>
                <a:bodyPr/>
                <a:lstStyle/>
                <a:p>
                  <a:pPr>
                    <a:defRPr sz="1400"/>
                  </a:pPr>
                  <a:r>
                    <a:rPr lang="fr-FR" sz="1400" b="1" i="0" baseline="0">
                      <a:effectLst/>
                    </a:rPr>
                    <a:t>ops/sec x 10</a:t>
                  </a:r>
                  <a:r>
                    <a:rPr lang="fr-FR" sz="1400" b="1" i="0" baseline="30000">
                      <a:effectLst/>
                    </a:rPr>
                    <a:t>3</a:t>
                  </a:r>
                  <a:endParaRPr lang="fr-FR" sz="1400">
                    <a:effectLst/>
                  </a:endParaRPr>
                </a:p>
              </c:rich>
            </c:tx>
          </c:dispUnitsLbl>
        </c:dispUnits>
      </c:valAx>
    </c:plotArea>
    <c:legend>
      <c:legendPos val="r"/>
      <c:layout>
        <c:manualLayout>
          <c:xMode val="edge"/>
          <c:yMode val="edge"/>
          <c:x val="0.75164279800595402"/>
          <c:y val="0.27695402765376032"/>
          <c:w val="0.24835724301585591"/>
          <c:h val="0.32741394825646897"/>
        </c:manualLayout>
      </c:layout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</c:chart>
  <c:printSettings>
    <c:headerFooter/>
    <c:pageMargins b="1" l="0.75000000000000278" r="0.75000000000000278" t="1" header="0.5" footer="0.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Read Latency (16 threads)</a:t>
            </a:r>
            <a:r>
              <a:rPr lang="en-US" sz="2000" baseline="0"/>
              <a:t> </a:t>
            </a:r>
            <a:endParaRPr lang="en-US" sz="2000"/>
          </a:p>
        </c:rich>
      </c:tx>
      <c:layout>
        <c:manualLayout>
          <c:xMode val="edge"/>
          <c:yMode val="edge"/>
          <c:x val="0.26380352856962402"/>
          <c:y val="3.2407423573162016E-2"/>
        </c:manualLayout>
      </c:layout>
    </c:title>
    <c:plotArea>
      <c:layout>
        <c:manualLayout>
          <c:layoutTarget val="inner"/>
          <c:xMode val="edge"/>
          <c:yMode val="edge"/>
          <c:x val="0.14637437365783801"/>
          <c:y val="6.0575099952860624E-2"/>
          <c:w val="0.64546587926509524"/>
          <c:h val="0.82246937882764137"/>
        </c:manualLayout>
      </c:layout>
      <c:barChart>
        <c:barDir val="col"/>
        <c:grouping val="stacked"/>
        <c:ser>
          <c:idx val="3"/>
          <c:order val="0"/>
          <c:tx>
            <c:v>50% (median)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cat>
            <c:strRef>
              <c:f>'100% read , 0% write'!$N$46:$N$51</c:f>
              <c:strCache>
                <c:ptCount val="5"/>
                <c:pt idx="0">
                  <c:v>cLSM</c:v>
                </c:pt>
                <c:pt idx="1">
                  <c:v>HyperLevelDB</c:v>
                </c:pt>
                <c:pt idx="2">
                  <c:v>LevelDB</c:v>
                </c:pt>
                <c:pt idx="3">
                  <c:v>bLSM</c:v>
                </c:pt>
                <c:pt idx="4">
                  <c:v>rocksDB</c:v>
                </c:pt>
              </c:strCache>
            </c:strRef>
          </c:cat>
          <c:val>
            <c:numRef>
              <c:f>'100% read , 0% write'!$O$46:$O$50</c:f>
              <c:numCache>
                <c:formatCode>General</c:formatCode>
                <c:ptCount val="5"/>
                <c:pt idx="0">
                  <c:v>13</c:v>
                </c:pt>
                <c:pt idx="1">
                  <c:v>25</c:v>
                </c:pt>
                <c:pt idx="2">
                  <c:v>22</c:v>
                </c:pt>
                <c:pt idx="3">
                  <c:v>56</c:v>
                </c:pt>
                <c:pt idx="4">
                  <c:v>44</c:v>
                </c:pt>
              </c:numCache>
            </c:numRef>
          </c:val>
        </c:ser>
        <c:ser>
          <c:idx val="0"/>
          <c:order val="1"/>
          <c:tx>
            <c:v>90%</c:v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tx1"/>
              </a:solidFill>
            </a:ln>
          </c:spPr>
          <c:cat>
            <c:strRef>
              <c:f>'100% read , 0% write'!$N$46:$N$51</c:f>
              <c:strCache>
                <c:ptCount val="5"/>
                <c:pt idx="0">
                  <c:v>cLSM</c:v>
                </c:pt>
                <c:pt idx="1">
                  <c:v>HyperLevelDB</c:v>
                </c:pt>
                <c:pt idx="2">
                  <c:v>LevelDB</c:v>
                </c:pt>
                <c:pt idx="3">
                  <c:v>bLSM</c:v>
                </c:pt>
                <c:pt idx="4">
                  <c:v>rocksDB</c:v>
                </c:pt>
              </c:strCache>
            </c:strRef>
          </c:cat>
          <c:val>
            <c:numRef>
              <c:f>'100% read , 0% write'!$P$46:$P$50</c:f>
              <c:numCache>
                <c:formatCode>General</c:formatCode>
                <c:ptCount val="5"/>
                <c:pt idx="0">
                  <c:v>4</c:v>
                </c:pt>
                <c:pt idx="1">
                  <c:v>30</c:v>
                </c:pt>
                <c:pt idx="2">
                  <c:v>19</c:v>
                </c:pt>
                <c:pt idx="3">
                  <c:v>43</c:v>
                </c:pt>
                <c:pt idx="4">
                  <c:v>21</c:v>
                </c:pt>
              </c:numCache>
            </c:numRef>
          </c:val>
        </c:ser>
        <c:overlap val="100"/>
        <c:axId val="128419712"/>
        <c:axId val="128421248"/>
      </c:barChart>
      <c:catAx>
        <c:axId val="12841971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28421248"/>
        <c:crosses val="autoZero"/>
        <c:auto val="1"/>
        <c:lblAlgn val="ctr"/>
        <c:lblOffset val="100"/>
      </c:catAx>
      <c:valAx>
        <c:axId val="128421248"/>
        <c:scaling>
          <c:orientation val="minMax"/>
          <c:max val="130"/>
          <c:min val="0"/>
        </c:scaling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Latency (</a:t>
                </a:r>
                <a:r>
                  <a:rPr lang="el-GR" sz="1400" b="0" i="0" u="none" strike="noStrike" baseline="0">
                    <a:effectLst/>
                  </a:rPr>
                  <a:t>μ</a:t>
                </a:r>
                <a:r>
                  <a:rPr lang="el-GR" sz="1400" b="1" i="0" u="none" strike="noStrike" baseline="0"/>
                  <a:t> </a:t>
                </a:r>
                <a:r>
                  <a:rPr lang="en-US" sz="1400" b="1" i="0" u="none" strike="noStrike" baseline="0"/>
                  <a:t>sec</a:t>
                </a:r>
                <a:r>
                  <a:rPr lang="en-US" sz="1400"/>
                  <a:t>)</a:t>
                </a:r>
              </a:p>
            </c:rich>
          </c:tx>
          <c:layout>
            <c:manualLayout>
              <c:xMode val="edge"/>
              <c:yMode val="edge"/>
              <c:x val="1.6469639408280776E-4"/>
              <c:y val="0.301681652321176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28419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589972758144985"/>
          <c:y val="0.38697142023913789"/>
          <c:w val="0.24173060417210954"/>
          <c:h val="0.17006261589315"/>
        </c:manualLayout>
      </c:layout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</c:chart>
  <c:printSettings>
    <c:headerFooter/>
    <c:pageMargins b="1" l="0.75000000000000278" r="0.75000000000000278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Throughput vs. Latency (100% Read)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9.6381998724471757E-2"/>
          <c:y val="0.13006849460150091"/>
          <c:w val="0.676745803525162"/>
          <c:h val="0.74863713651357677"/>
        </c:manualLayout>
      </c:layout>
      <c:scatterChart>
        <c:scatterStyle val="smoothMarker"/>
        <c:ser>
          <c:idx val="1"/>
          <c:order val="0"/>
          <c:tx>
            <c:strRef>
              <c:f>'100% read , 0% write'!$C$69</c:f>
              <c:strCache>
                <c:ptCount val="1"/>
                <c:pt idx="0">
                  <c:v>cLSM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square"/>
            <c:size val="12"/>
            <c:spPr>
              <a:solidFill>
                <a:sysClr val="windowText" lastClr="000000"/>
              </a:solidFill>
              <a:ln w="12700">
                <a:solidFill>
                  <a:prstClr val="black"/>
                </a:solidFill>
              </a:ln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b"/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b"/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4</a:t>
                    </a:r>
                  </a:p>
                </c:rich>
              </c:tx>
              <c:dLblPos val="b"/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8</a:t>
                    </a:r>
                  </a:p>
                </c:rich>
              </c:tx>
              <c:dLblPos val="b"/>
              <c:showVal val="1"/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16</a:t>
                    </a:r>
                  </a:p>
                </c:rich>
              </c:tx>
              <c:dLblPos val="b"/>
              <c:showVal val="1"/>
            </c:dLbl>
            <c:dLblPos val="b"/>
            <c:showVal val="1"/>
          </c:dLbls>
          <c:xVal>
            <c:numRef>
              <c:f>'100% read , 0% write'!$D$69:$H$69</c:f>
              <c:numCache>
                <c:formatCode>General</c:formatCode>
                <c:ptCount val="5"/>
                <c:pt idx="0">
                  <c:v>102880</c:v>
                </c:pt>
                <c:pt idx="1">
                  <c:v>223955</c:v>
                </c:pt>
                <c:pt idx="2">
                  <c:v>441842</c:v>
                </c:pt>
                <c:pt idx="3">
                  <c:v>851114</c:v>
                </c:pt>
                <c:pt idx="4">
                  <c:v>1249275</c:v>
                </c:pt>
              </c:numCache>
            </c:numRef>
          </c:xVal>
          <c:yVal>
            <c:numRef>
              <c:f>'100% read , 0% write'!$D$70:$H$70</c:f>
              <c:numCache>
                <c:formatCode>General</c:formatCode>
                <c:ptCount val="5"/>
                <c:pt idx="0">
                  <c:v>11</c:v>
                </c:pt>
                <c:pt idx="1">
                  <c:v>11</c:v>
                </c:pt>
                <c:pt idx="2">
                  <c:v>12</c:v>
                </c:pt>
                <c:pt idx="3">
                  <c:v>12</c:v>
                </c:pt>
                <c:pt idx="4">
                  <c:v>17</c:v>
                </c:pt>
              </c:numCache>
            </c:numRef>
          </c:yVal>
          <c:smooth val="1"/>
        </c:ser>
        <c:ser>
          <c:idx val="0"/>
          <c:order val="1"/>
          <c:tx>
            <c:strRef>
              <c:f>'100% read , 0% write'!$C$67</c:f>
              <c:strCache>
                <c:ptCount val="1"/>
                <c:pt idx="0">
                  <c:v>LevelDB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diamond"/>
            <c:size val="12"/>
            <c:spPr>
              <a:noFill/>
              <a:ln w="12700">
                <a:solidFill>
                  <a:schemeClr val="tx1"/>
                </a:solidFill>
              </a:ln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t"/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t"/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4</a:t>
                    </a:r>
                  </a:p>
                </c:rich>
              </c:tx>
              <c:dLblPos val="t"/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8</a:t>
                    </a:r>
                  </a:p>
                </c:rich>
              </c:tx>
              <c:dLblPos val="t"/>
              <c:showVal val="1"/>
            </c:dLbl>
            <c:dLblPos val="t"/>
            <c:showVal val="1"/>
          </c:dLbls>
          <c:xVal>
            <c:numRef>
              <c:f>'100% read , 0% write'!$D$67:$G$67</c:f>
              <c:numCache>
                <c:formatCode>General</c:formatCode>
                <c:ptCount val="4"/>
                <c:pt idx="0">
                  <c:v>79765</c:v>
                </c:pt>
                <c:pt idx="1">
                  <c:v>225984</c:v>
                </c:pt>
                <c:pt idx="2">
                  <c:v>450297</c:v>
                </c:pt>
                <c:pt idx="3">
                  <c:v>704193</c:v>
                </c:pt>
              </c:numCache>
            </c:numRef>
          </c:xVal>
          <c:yVal>
            <c:numRef>
              <c:f>'100% read , 0% write'!$D$68:$G$68</c:f>
              <c:numCache>
                <c:formatCode>General</c:formatCode>
                <c:ptCount val="4"/>
                <c:pt idx="0">
                  <c:v>14</c:v>
                </c:pt>
                <c:pt idx="1">
                  <c:v>12</c:v>
                </c:pt>
                <c:pt idx="2">
                  <c:v>12</c:v>
                </c:pt>
                <c:pt idx="3">
                  <c:v>17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'100% read , 0% write'!$C$71</c:f>
              <c:strCache>
                <c:ptCount val="1"/>
                <c:pt idx="0">
                  <c:v>HyperLevelDB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triangle"/>
            <c:size val="12"/>
            <c:spPr>
              <a:noFill/>
              <a:ln w="12700">
                <a:solidFill>
                  <a:prstClr val="black"/>
                </a:solidFill>
              </a:ln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b"/>
              <c:showVal val="1"/>
            </c:dLbl>
            <c:dLbl>
              <c:idx val="1"/>
              <c:layout>
                <c:manualLayout>
                  <c:x val="-2.6842769797288571E-2"/>
                  <c:y val="2.832058382652612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r"/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4</a:t>
                    </a:r>
                  </a:p>
                </c:rich>
              </c:tx>
              <c:dLblPos val="b"/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8</a:t>
                    </a:r>
                  </a:p>
                </c:rich>
              </c:tx>
              <c:dLblPos val="b"/>
              <c:showVal val="1"/>
            </c:dLbl>
            <c:dLblPos val="b"/>
            <c:showVal val="1"/>
          </c:dLbls>
          <c:xVal>
            <c:numRef>
              <c:f>'100% read , 0% write'!$D$71:$G$71</c:f>
              <c:numCache>
                <c:formatCode>General</c:formatCode>
                <c:ptCount val="4"/>
                <c:pt idx="0">
                  <c:v>114603</c:v>
                </c:pt>
                <c:pt idx="1">
                  <c:v>236532</c:v>
                </c:pt>
                <c:pt idx="2">
                  <c:v>456711</c:v>
                </c:pt>
                <c:pt idx="3">
                  <c:v>761962</c:v>
                </c:pt>
              </c:numCache>
            </c:numRef>
          </c:xVal>
          <c:yVal>
            <c:numRef>
              <c:f>'100% read , 0% write'!$D$72:$G$72</c:f>
              <c:numCache>
                <c:formatCode>General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'100% read , 0% write'!$C$73</c:f>
              <c:strCache>
                <c:ptCount val="1"/>
                <c:pt idx="0">
                  <c:v>bLSM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x"/>
            <c:size val="12"/>
            <c:spPr>
              <a:ln w="12700">
                <a:solidFill>
                  <a:prstClr val="black"/>
                </a:solidFill>
              </a:ln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4</a:t>
                    </a:r>
                  </a:p>
                </c:rich>
              </c:tx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8</a:t>
                    </a:r>
                  </a:p>
                </c:rich>
              </c:tx>
              <c:showVal val="1"/>
            </c:dLbl>
            <c:showVal val="1"/>
          </c:dLbls>
          <c:xVal>
            <c:numRef>
              <c:f>'100% read , 0% write'!$D$73:$G$73</c:f>
              <c:numCache>
                <c:formatCode>General</c:formatCode>
                <c:ptCount val="4"/>
                <c:pt idx="0">
                  <c:v>226853</c:v>
                </c:pt>
                <c:pt idx="1">
                  <c:v>277069</c:v>
                </c:pt>
                <c:pt idx="2">
                  <c:v>289782</c:v>
                </c:pt>
                <c:pt idx="3">
                  <c:v>307211</c:v>
                </c:pt>
              </c:numCache>
            </c:numRef>
          </c:xVal>
          <c:yVal>
            <c:numRef>
              <c:f>'100% read , 0% write'!$D$74:$G$74</c:f>
              <c:numCache>
                <c:formatCode>General</c:formatCode>
                <c:ptCount val="4"/>
                <c:pt idx="0">
                  <c:v>6</c:v>
                </c:pt>
                <c:pt idx="1">
                  <c:v>12</c:v>
                </c:pt>
                <c:pt idx="2">
                  <c:v>24</c:v>
                </c:pt>
                <c:pt idx="3">
                  <c:v>44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'100% read , 0% write'!$C$75</c:f>
              <c:strCache>
                <c:ptCount val="1"/>
                <c:pt idx="0">
                  <c:v>rocksDB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circle"/>
            <c:size val="12"/>
            <c:spPr>
              <a:noFill/>
              <a:ln w="12700">
                <a:solidFill>
                  <a:prstClr val="black"/>
                </a:solidFill>
              </a:ln>
            </c:spPr>
          </c:marker>
          <c:dLbls>
            <c:dLbl>
              <c:idx val="0"/>
              <c:layout>
                <c:manualLayout>
                  <c:x val="-2.5974025974026035E-2"/>
                  <c:y val="-4.481792717086854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4</a:t>
                    </a:r>
                  </a:p>
                </c:rich>
              </c:tx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8</a:t>
                    </a:r>
                  </a:p>
                </c:rich>
              </c:tx>
              <c:showVal val="1"/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16</a:t>
                    </a:r>
                  </a:p>
                </c:rich>
              </c:tx>
              <c:showVal val="1"/>
            </c:dLbl>
            <c:showVal val="1"/>
          </c:dLbls>
          <c:xVal>
            <c:numRef>
              <c:f>'100% read , 0% write'!$D$75:$H$75</c:f>
              <c:numCache>
                <c:formatCode>General</c:formatCode>
                <c:ptCount val="5"/>
                <c:pt idx="0">
                  <c:v>32414</c:v>
                </c:pt>
                <c:pt idx="1">
                  <c:v>77658</c:v>
                </c:pt>
                <c:pt idx="2">
                  <c:v>155738</c:v>
                </c:pt>
                <c:pt idx="3">
                  <c:v>321824</c:v>
                </c:pt>
                <c:pt idx="4">
                  <c:v>360600</c:v>
                </c:pt>
              </c:numCache>
            </c:numRef>
          </c:xVal>
          <c:yVal>
            <c:numRef>
              <c:f>'100% read , 0% write'!$D$76:$H$76</c:f>
              <c:numCache>
                <c:formatCode>General</c:formatCode>
                <c:ptCount val="5"/>
                <c:pt idx="0">
                  <c:v>34</c:v>
                </c:pt>
                <c:pt idx="1">
                  <c:v>34</c:v>
                </c:pt>
                <c:pt idx="2">
                  <c:v>35</c:v>
                </c:pt>
                <c:pt idx="3">
                  <c:v>37</c:v>
                </c:pt>
                <c:pt idx="4">
                  <c:v>65</c:v>
                </c:pt>
              </c:numCache>
            </c:numRef>
          </c:yVal>
          <c:smooth val="1"/>
        </c:ser>
        <c:axId val="129057536"/>
        <c:axId val="129059456"/>
      </c:scatterChart>
      <c:valAx>
        <c:axId val="129057536"/>
        <c:scaling>
          <c:orientation val="minMax"/>
          <c:max val="1300000"/>
          <c:min val="0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 b="1" i="0" u="none" strike="noStrike" baseline="0"/>
                  <a:t>Throughput (</a:t>
                </a:r>
                <a:r>
                  <a:rPr lang="en-US" sz="1400" b="1" i="0" baseline="0"/>
                  <a:t>ops/sec x 10</a:t>
                </a:r>
                <a:r>
                  <a:rPr lang="en-US" sz="1400" b="1" i="0" baseline="30000"/>
                  <a:t>3</a:t>
                </a:r>
                <a:r>
                  <a:rPr lang="en-US" sz="1400" b="1" i="0" u="none" strike="noStrike" baseline="0"/>
                  <a:t>)</a:t>
                </a:r>
                <a:endParaRPr lang="en-US" sz="1400" b="1" i="0" baseline="0"/>
              </a:p>
            </c:rich>
          </c:tx>
          <c:layout>
            <c:manualLayout>
              <c:xMode val="edge"/>
              <c:yMode val="edge"/>
              <c:x val="0.38450771490197055"/>
              <c:y val="0.946337234357815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29059456"/>
        <c:crosses val="autoZero"/>
        <c:crossBetween val="midCat"/>
      </c:valAx>
      <c:valAx>
        <c:axId val="12905945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 b="1" i="0" baseline="0"/>
                  <a:t>90% Latency (</a:t>
                </a:r>
                <a:r>
                  <a:rPr lang="el-GR" sz="1400" b="0" i="0" baseline="0"/>
                  <a:t>μ</a:t>
                </a:r>
                <a:r>
                  <a:rPr lang="el-GR" sz="1400" b="1" i="0" baseline="0"/>
                  <a:t> </a:t>
                </a:r>
                <a:r>
                  <a:rPr lang="en-US" sz="1400" b="1" i="0" baseline="0"/>
                  <a:t>sec)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1.2986764522918101E-2"/>
              <c:y val="0.32277204024849432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2905753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5934747145187831"/>
          <c:y val="0.28048173445199504"/>
          <c:w val="0.23847743338771124"/>
          <c:h val="0.35030911149580957"/>
        </c:manualLayout>
      </c:layout>
      <c:txPr>
        <a:bodyPr/>
        <a:lstStyle/>
        <a:p>
          <a:pPr>
            <a:defRPr sz="140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Throughput vs. Latency (100% Read)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9.6381998724471757E-2"/>
          <c:y val="0.13006849460150091"/>
          <c:w val="0.67674580352516267"/>
          <c:h val="0.74863713651357744"/>
        </c:manualLayout>
      </c:layout>
      <c:scatterChart>
        <c:scatterStyle val="smoothMarker"/>
        <c:ser>
          <c:idx val="4"/>
          <c:order val="0"/>
          <c:tx>
            <c:strRef>
              <c:f>'100% read , 0% write'!$C$75</c:f>
              <c:strCache>
                <c:ptCount val="1"/>
                <c:pt idx="0">
                  <c:v>rocksDB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circle"/>
            <c:size val="12"/>
            <c:spPr>
              <a:noFill/>
              <a:ln w="12700">
                <a:solidFill>
                  <a:prstClr val="black"/>
                </a:solidFill>
              </a:ln>
            </c:spPr>
          </c:marker>
          <c:dLbls>
            <c:dLbl>
              <c:idx val="0"/>
              <c:layout>
                <c:manualLayout>
                  <c:x val="-2.5974025974026042E-2"/>
                  <c:y val="-4.481792717086857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4</a:t>
                    </a:r>
                  </a:p>
                </c:rich>
              </c:tx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8</a:t>
                    </a:r>
                  </a:p>
                </c:rich>
              </c:tx>
              <c:showVal val="1"/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16</a:t>
                    </a:r>
                  </a:p>
                </c:rich>
              </c:tx>
              <c:showVal val="1"/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32</a:t>
                    </a:r>
                  </a:p>
                </c:rich>
              </c:tx>
              <c:showVal val="1"/>
            </c:dLbl>
            <c:dLbl>
              <c:idx val="6"/>
              <c:layout/>
              <c:tx>
                <c:rich>
                  <a:bodyPr/>
                  <a:lstStyle/>
                  <a:p>
                    <a:r>
                      <a:rPr lang="en-US"/>
                      <a:t>64</a:t>
                    </a:r>
                  </a:p>
                </c:rich>
              </c:tx>
              <c:showVal val="1"/>
            </c:dLbl>
            <c:dLbl>
              <c:idx val="7"/>
              <c:layout/>
              <c:tx>
                <c:rich>
                  <a:bodyPr/>
                  <a:lstStyle/>
                  <a:p>
                    <a:r>
                      <a:rPr lang="en-US"/>
                      <a:t>128</a:t>
                    </a:r>
                  </a:p>
                </c:rich>
              </c:tx>
              <c:showVal val="1"/>
            </c:dLbl>
            <c:showVal val="1"/>
          </c:dLbls>
          <c:xVal>
            <c:numRef>
              <c:f>'100% read , 0% write'!$D$75:$K$75</c:f>
              <c:numCache>
                <c:formatCode>General</c:formatCode>
                <c:ptCount val="8"/>
                <c:pt idx="0">
                  <c:v>32414</c:v>
                </c:pt>
                <c:pt idx="1">
                  <c:v>77658</c:v>
                </c:pt>
                <c:pt idx="2">
                  <c:v>155738</c:v>
                </c:pt>
                <c:pt idx="3">
                  <c:v>321824</c:v>
                </c:pt>
                <c:pt idx="4">
                  <c:v>360600</c:v>
                </c:pt>
                <c:pt idx="5">
                  <c:v>398371</c:v>
                </c:pt>
                <c:pt idx="6">
                  <c:v>594495</c:v>
                </c:pt>
                <c:pt idx="7">
                  <c:v>662128</c:v>
                </c:pt>
              </c:numCache>
            </c:numRef>
          </c:xVal>
          <c:yVal>
            <c:numRef>
              <c:f>'100% read , 0% write'!$D$76:$K$76</c:f>
              <c:numCache>
                <c:formatCode>General</c:formatCode>
                <c:ptCount val="8"/>
                <c:pt idx="0">
                  <c:v>34</c:v>
                </c:pt>
                <c:pt idx="1">
                  <c:v>34</c:v>
                </c:pt>
                <c:pt idx="2">
                  <c:v>35</c:v>
                </c:pt>
                <c:pt idx="3">
                  <c:v>37</c:v>
                </c:pt>
                <c:pt idx="4">
                  <c:v>65</c:v>
                </c:pt>
                <c:pt idx="5">
                  <c:v>80</c:v>
                </c:pt>
                <c:pt idx="6">
                  <c:v>88</c:v>
                </c:pt>
                <c:pt idx="7">
                  <c:v>98</c:v>
                </c:pt>
              </c:numCache>
            </c:numRef>
          </c:yVal>
          <c:smooth val="1"/>
        </c:ser>
        <c:ser>
          <c:idx val="3"/>
          <c:order val="1"/>
          <c:tx>
            <c:strRef>
              <c:f>'100% read , 0% write'!$C$73</c:f>
              <c:strCache>
                <c:ptCount val="1"/>
                <c:pt idx="0">
                  <c:v>bLSM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x"/>
            <c:size val="12"/>
            <c:spPr>
              <a:ln w="12700">
                <a:solidFill>
                  <a:prstClr val="black"/>
                </a:solidFill>
              </a:ln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4</a:t>
                    </a:r>
                  </a:p>
                </c:rich>
              </c:tx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8</a:t>
                    </a:r>
                  </a:p>
                </c:rich>
              </c:tx>
              <c:showVal val="1"/>
            </c:dLbl>
            <c:showVal val="1"/>
          </c:dLbls>
          <c:xVal>
            <c:numRef>
              <c:f>'100% read , 0% write'!$D$73:$G$73</c:f>
              <c:numCache>
                <c:formatCode>General</c:formatCode>
                <c:ptCount val="4"/>
                <c:pt idx="0">
                  <c:v>226853</c:v>
                </c:pt>
                <c:pt idx="1">
                  <c:v>277069</c:v>
                </c:pt>
                <c:pt idx="2">
                  <c:v>289782</c:v>
                </c:pt>
                <c:pt idx="3">
                  <c:v>307211</c:v>
                </c:pt>
              </c:numCache>
            </c:numRef>
          </c:xVal>
          <c:yVal>
            <c:numRef>
              <c:f>'100% read , 0% write'!$D$74:$G$74</c:f>
              <c:numCache>
                <c:formatCode>General</c:formatCode>
                <c:ptCount val="4"/>
                <c:pt idx="0">
                  <c:v>6</c:v>
                </c:pt>
                <c:pt idx="1">
                  <c:v>12</c:v>
                </c:pt>
                <c:pt idx="2">
                  <c:v>24</c:v>
                </c:pt>
                <c:pt idx="3">
                  <c:v>44</c:v>
                </c:pt>
              </c:numCache>
            </c:numRef>
          </c:yVal>
          <c:smooth val="1"/>
        </c:ser>
        <c:ser>
          <c:idx val="0"/>
          <c:order val="2"/>
          <c:tx>
            <c:strRef>
              <c:f>'100% read , 0% write'!$C$67</c:f>
              <c:strCache>
                <c:ptCount val="1"/>
                <c:pt idx="0">
                  <c:v>LevelDB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diamond"/>
            <c:size val="12"/>
            <c:spPr>
              <a:noFill/>
              <a:ln w="12700">
                <a:solidFill>
                  <a:schemeClr val="tx1"/>
                </a:solidFill>
              </a:ln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t"/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t"/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4</a:t>
                    </a:r>
                  </a:p>
                </c:rich>
              </c:tx>
              <c:dLblPos val="t"/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8</a:t>
                    </a:r>
                  </a:p>
                </c:rich>
              </c:tx>
              <c:dLblPos val="t"/>
              <c:showVal val="1"/>
            </c:dLbl>
            <c:dLblPos val="t"/>
            <c:showVal val="1"/>
          </c:dLbls>
          <c:xVal>
            <c:numRef>
              <c:f>'100% read , 0% write'!$D$67:$G$67</c:f>
              <c:numCache>
                <c:formatCode>General</c:formatCode>
                <c:ptCount val="4"/>
                <c:pt idx="0">
                  <c:v>79765</c:v>
                </c:pt>
                <c:pt idx="1">
                  <c:v>225984</c:v>
                </c:pt>
                <c:pt idx="2">
                  <c:v>450297</c:v>
                </c:pt>
                <c:pt idx="3">
                  <c:v>704193</c:v>
                </c:pt>
              </c:numCache>
            </c:numRef>
          </c:xVal>
          <c:yVal>
            <c:numRef>
              <c:f>'100% read , 0% write'!$D$68:$G$68</c:f>
              <c:numCache>
                <c:formatCode>General</c:formatCode>
                <c:ptCount val="4"/>
                <c:pt idx="0">
                  <c:v>14</c:v>
                </c:pt>
                <c:pt idx="1">
                  <c:v>12</c:v>
                </c:pt>
                <c:pt idx="2">
                  <c:v>12</c:v>
                </c:pt>
                <c:pt idx="3">
                  <c:v>17</c:v>
                </c:pt>
              </c:numCache>
            </c:numRef>
          </c:yVal>
          <c:smooth val="1"/>
        </c:ser>
        <c:ser>
          <c:idx val="2"/>
          <c:order val="3"/>
          <c:tx>
            <c:strRef>
              <c:f>'100% read , 0% write'!$C$71</c:f>
              <c:strCache>
                <c:ptCount val="1"/>
                <c:pt idx="0">
                  <c:v>HyperLevelDB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triangle"/>
            <c:size val="12"/>
            <c:spPr>
              <a:noFill/>
              <a:ln w="12700">
                <a:solidFill>
                  <a:prstClr val="black"/>
                </a:solidFill>
              </a:ln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b"/>
              <c:showVal val="1"/>
            </c:dLbl>
            <c:dLbl>
              <c:idx val="1"/>
              <c:layout>
                <c:manualLayout>
                  <c:x val="-2.6842769797288571E-2"/>
                  <c:y val="2.832058382652612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r"/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4</a:t>
                    </a:r>
                  </a:p>
                </c:rich>
              </c:tx>
              <c:dLblPos val="b"/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8</a:t>
                    </a:r>
                  </a:p>
                </c:rich>
              </c:tx>
              <c:dLblPos val="b"/>
              <c:showVal val="1"/>
            </c:dLbl>
            <c:dLblPos val="b"/>
            <c:showVal val="1"/>
          </c:dLbls>
          <c:xVal>
            <c:numRef>
              <c:f>'100% read , 0% write'!$D$71:$G$71</c:f>
              <c:numCache>
                <c:formatCode>General</c:formatCode>
                <c:ptCount val="4"/>
                <c:pt idx="0">
                  <c:v>114603</c:v>
                </c:pt>
                <c:pt idx="1">
                  <c:v>236532</c:v>
                </c:pt>
                <c:pt idx="2">
                  <c:v>456711</c:v>
                </c:pt>
                <c:pt idx="3">
                  <c:v>761962</c:v>
                </c:pt>
              </c:numCache>
            </c:numRef>
          </c:xVal>
          <c:yVal>
            <c:numRef>
              <c:f>'100% read , 0% write'!$D$72:$G$72</c:f>
              <c:numCache>
                <c:formatCode>General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14</c:v>
                </c:pt>
              </c:numCache>
            </c:numRef>
          </c:yVal>
          <c:smooth val="1"/>
        </c:ser>
        <c:ser>
          <c:idx val="1"/>
          <c:order val="4"/>
          <c:tx>
            <c:strRef>
              <c:f>'100% read , 0% write'!$C$69</c:f>
              <c:strCache>
                <c:ptCount val="1"/>
                <c:pt idx="0">
                  <c:v>cLSM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square"/>
            <c:size val="12"/>
            <c:spPr>
              <a:solidFill>
                <a:sysClr val="windowText" lastClr="000000"/>
              </a:solidFill>
              <a:ln w="12700">
                <a:solidFill>
                  <a:prstClr val="black"/>
                </a:solidFill>
              </a:ln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b"/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b"/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4</a:t>
                    </a:r>
                  </a:p>
                </c:rich>
              </c:tx>
              <c:dLblPos val="b"/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8</a:t>
                    </a:r>
                  </a:p>
                </c:rich>
              </c:tx>
              <c:dLblPos val="b"/>
              <c:showVal val="1"/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16</a:t>
                    </a:r>
                  </a:p>
                </c:rich>
              </c:tx>
              <c:dLblPos val="b"/>
              <c:showVal val="1"/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32</a:t>
                    </a:r>
                  </a:p>
                </c:rich>
              </c:tx>
              <c:dLblPos val="b"/>
              <c:showVal val="1"/>
            </c:dLbl>
            <c:dLbl>
              <c:idx val="6"/>
              <c:layout/>
              <c:tx>
                <c:rich>
                  <a:bodyPr/>
                  <a:lstStyle/>
                  <a:p>
                    <a:r>
                      <a:rPr lang="en-US"/>
                      <a:t>64</a:t>
                    </a:r>
                  </a:p>
                </c:rich>
              </c:tx>
              <c:dLblPos val="b"/>
              <c:showVal val="1"/>
            </c:dLbl>
            <c:dLbl>
              <c:idx val="7"/>
              <c:layout/>
              <c:tx>
                <c:rich>
                  <a:bodyPr/>
                  <a:lstStyle/>
                  <a:p>
                    <a:r>
                      <a:rPr lang="en-US"/>
                      <a:t>128</a:t>
                    </a:r>
                  </a:p>
                </c:rich>
              </c:tx>
              <c:dLblPos val="b"/>
              <c:showVal val="1"/>
            </c:dLbl>
            <c:dLblPos val="b"/>
            <c:showVal val="1"/>
          </c:dLbls>
          <c:xVal>
            <c:numRef>
              <c:f>'100% read , 0% write'!$D$69:$K$69</c:f>
              <c:numCache>
                <c:formatCode>General</c:formatCode>
                <c:ptCount val="8"/>
                <c:pt idx="0">
                  <c:v>102880</c:v>
                </c:pt>
                <c:pt idx="1">
                  <c:v>223955</c:v>
                </c:pt>
                <c:pt idx="2">
                  <c:v>441842</c:v>
                </c:pt>
                <c:pt idx="3">
                  <c:v>851114</c:v>
                </c:pt>
                <c:pt idx="4">
                  <c:v>1249275</c:v>
                </c:pt>
                <c:pt idx="5">
                  <c:v>1448900</c:v>
                </c:pt>
                <c:pt idx="6">
                  <c:v>1577768</c:v>
                </c:pt>
                <c:pt idx="7">
                  <c:v>1772068</c:v>
                </c:pt>
              </c:numCache>
            </c:numRef>
          </c:xVal>
          <c:yVal>
            <c:numRef>
              <c:f>'100% read , 0% write'!$D$70:$K$70</c:f>
              <c:numCache>
                <c:formatCode>General</c:formatCode>
                <c:ptCount val="8"/>
                <c:pt idx="0">
                  <c:v>11</c:v>
                </c:pt>
                <c:pt idx="1">
                  <c:v>11</c:v>
                </c:pt>
                <c:pt idx="2">
                  <c:v>12</c:v>
                </c:pt>
                <c:pt idx="3">
                  <c:v>12</c:v>
                </c:pt>
                <c:pt idx="4">
                  <c:v>17</c:v>
                </c:pt>
                <c:pt idx="5">
                  <c:v>30</c:v>
                </c:pt>
                <c:pt idx="6">
                  <c:v>42</c:v>
                </c:pt>
                <c:pt idx="7">
                  <c:v>61</c:v>
                </c:pt>
              </c:numCache>
            </c:numRef>
          </c:yVal>
          <c:smooth val="1"/>
        </c:ser>
        <c:axId val="129256832"/>
        <c:axId val="129206144"/>
      </c:scatterChart>
      <c:valAx>
        <c:axId val="129256832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 b="1" i="0" u="none" strike="noStrike" baseline="0"/>
                  <a:t>Throughput (</a:t>
                </a:r>
                <a:r>
                  <a:rPr lang="en-US" sz="1400" b="1" i="0" baseline="0"/>
                  <a:t>ops/sec x 10</a:t>
                </a:r>
                <a:r>
                  <a:rPr lang="en-US" sz="1400" b="1" i="0" baseline="30000"/>
                  <a:t>3</a:t>
                </a:r>
                <a:r>
                  <a:rPr lang="en-US" sz="1400" b="1" i="0" u="none" strike="noStrike" baseline="0"/>
                  <a:t>)</a:t>
                </a:r>
                <a:endParaRPr lang="en-US" sz="1400" b="1" i="0" baseline="0"/>
              </a:p>
            </c:rich>
          </c:tx>
          <c:layout>
            <c:manualLayout>
              <c:xMode val="edge"/>
              <c:yMode val="edge"/>
              <c:x val="0.36541051509186362"/>
              <c:y val="0.94419444444444456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29206144"/>
        <c:crosses val="autoZero"/>
        <c:crossBetween val="midCat"/>
        <c:dispUnits>
          <c:builtInUnit val="thousands"/>
          <c:dispUnitsLbl>
            <c:layout/>
          </c:dispUnitsLbl>
        </c:dispUnits>
      </c:valAx>
      <c:valAx>
        <c:axId val="12920614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 b="1" i="0" baseline="0"/>
                  <a:t>90% Latency (</a:t>
                </a:r>
                <a:r>
                  <a:rPr lang="el-GR" sz="1400" b="0" i="0" baseline="0"/>
                  <a:t>μ</a:t>
                </a:r>
                <a:r>
                  <a:rPr lang="el-GR" sz="1400" b="1" i="0" baseline="0"/>
                  <a:t> </a:t>
                </a:r>
                <a:r>
                  <a:rPr lang="en-US" sz="1400" b="1" i="0" baseline="0"/>
                  <a:t>sec)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1.2986764522918101E-2"/>
              <c:y val="0.32277204024849432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292568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5934752296587948"/>
          <c:y val="0.32214829396325473"/>
          <c:w val="0.23847743338771132"/>
          <c:h val="0.35030911149580968"/>
        </c:manualLayout>
      </c:layout>
      <c:txPr>
        <a:bodyPr/>
        <a:lstStyle/>
        <a:p>
          <a:pPr>
            <a:defRPr sz="1400"/>
          </a:pPr>
          <a:endParaRPr lang="en-US"/>
        </a:p>
      </c:txPr>
    </c:legend>
    <c:plotVisOnly val="1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 sz="1800"/>
            </a:pPr>
            <a:r>
              <a:rPr lang="en-US" sz="1800" baseline="0"/>
              <a:t>RMW Throughput</a:t>
            </a:r>
            <a:endParaRPr lang="en-US" sz="1800"/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'100% RMW '!$C$20</c:f>
              <c:strCache>
                <c:ptCount val="1"/>
                <c:pt idx="0">
                  <c:v>LevelDB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cat>
            <c:numRef>
              <c:f>'100% RMW '!$D$19:$H$19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'100% RMW '!$D$20:$H$20</c:f>
              <c:numCache>
                <c:formatCode>General</c:formatCode>
                <c:ptCount val="5"/>
                <c:pt idx="0">
                  <c:v>44692</c:v>
                </c:pt>
                <c:pt idx="1">
                  <c:v>62265</c:v>
                </c:pt>
                <c:pt idx="2">
                  <c:v>112408</c:v>
                </c:pt>
                <c:pt idx="3">
                  <c:v>138338</c:v>
                </c:pt>
                <c:pt idx="4">
                  <c:v>153582</c:v>
                </c:pt>
              </c:numCache>
            </c:numRef>
          </c:val>
        </c:ser>
        <c:ser>
          <c:idx val="1"/>
          <c:order val="1"/>
          <c:tx>
            <c:strRef>
              <c:f>'100% RMW '!$C$21</c:f>
              <c:strCache>
                <c:ptCount val="1"/>
                <c:pt idx="0">
                  <c:v>cLSM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cat>
            <c:numRef>
              <c:f>'100% RMW '!$D$19:$H$19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'100% RMW '!$D$21:$H$21</c:f>
              <c:numCache>
                <c:formatCode>General</c:formatCode>
                <c:ptCount val="5"/>
                <c:pt idx="0">
                  <c:v>58822</c:v>
                </c:pt>
                <c:pt idx="1">
                  <c:v>80299</c:v>
                </c:pt>
                <c:pt idx="2">
                  <c:v>146180</c:v>
                </c:pt>
                <c:pt idx="3">
                  <c:v>291002</c:v>
                </c:pt>
                <c:pt idx="4">
                  <c:v>391056</c:v>
                </c:pt>
              </c:numCache>
            </c:numRef>
          </c:val>
        </c:ser>
        <c:axId val="129313792"/>
        <c:axId val="129315968"/>
      </c:barChart>
      <c:catAx>
        <c:axId val="1293137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Writer threads</a:t>
                </a:r>
              </a:p>
            </c:rich>
          </c:tx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29315968"/>
        <c:crosses val="autoZero"/>
        <c:auto val="1"/>
        <c:lblAlgn val="ctr"/>
        <c:lblOffset val="100"/>
      </c:catAx>
      <c:valAx>
        <c:axId val="129315968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29313792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1.7843654077138709E-2"/>
                <c:y val="0.280555555555556"/>
              </c:manualLayout>
            </c:layout>
            <c:tx>
              <c:rich>
                <a:bodyPr/>
                <a:lstStyle/>
                <a:p>
                  <a:pPr>
                    <a:defRPr sz="1400"/>
                  </a:pPr>
                  <a:r>
                    <a:rPr lang="fr-FR" sz="1400" b="1" i="0" baseline="0">
                      <a:effectLst/>
                    </a:rPr>
                    <a:t>ops/sec x 10</a:t>
                  </a:r>
                  <a:r>
                    <a:rPr lang="fr-FR" sz="1400" b="1" i="0" baseline="30000">
                      <a:effectLst/>
                    </a:rPr>
                    <a:t>3</a:t>
                  </a:r>
                  <a:endParaRPr lang="fr-FR" sz="1400">
                    <a:effectLst/>
                  </a:endParaRPr>
                </a:p>
              </c:rich>
            </c:tx>
          </c:dispUnitsLbl>
        </c:dispUnits>
      </c:valAx>
    </c:plotArea>
    <c:legend>
      <c:legendPos val="r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</c:chart>
  <c:printSettings>
    <c:headerFooter/>
    <c:pageMargins b="1" l="0.75000000000000189" r="0.75000000000000189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RMW Latency</a:t>
            </a:r>
            <a:r>
              <a:rPr lang="en-US" sz="2000" baseline="0"/>
              <a:t> (16 threads)</a:t>
            </a:r>
            <a:endParaRPr lang="en-US" sz="2000"/>
          </a:p>
        </c:rich>
      </c:tx>
    </c:title>
    <c:plotArea>
      <c:layout/>
      <c:barChart>
        <c:barDir val="col"/>
        <c:grouping val="stacked"/>
        <c:ser>
          <c:idx val="0"/>
          <c:order val="0"/>
          <c:tx>
            <c:v>50% (median)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cat>
            <c:strRef>
              <c:f>'100% RMW '!$K$37:$K$38</c:f>
              <c:strCache>
                <c:ptCount val="2"/>
                <c:pt idx="0">
                  <c:v>cLSM</c:v>
                </c:pt>
                <c:pt idx="1">
                  <c:v>LevelDB</c:v>
                </c:pt>
              </c:strCache>
            </c:strRef>
          </c:cat>
          <c:val>
            <c:numRef>
              <c:f>'100% RMW '!$L$37:$L$38</c:f>
              <c:numCache>
                <c:formatCode>General</c:formatCode>
                <c:ptCount val="2"/>
                <c:pt idx="0">
                  <c:v>17</c:v>
                </c:pt>
                <c:pt idx="1">
                  <c:v>36</c:v>
                </c:pt>
              </c:numCache>
            </c:numRef>
          </c:val>
        </c:ser>
        <c:ser>
          <c:idx val="1"/>
          <c:order val="1"/>
          <c:tx>
            <c:v>90%</c:v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tx1"/>
              </a:solidFill>
            </a:ln>
          </c:spPr>
          <c:cat>
            <c:strRef>
              <c:f>'100% RMW '!$K$37:$K$38</c:f>
              <c:strCache>
                <c:ptCount val="2"/>
                <c:pt idx="0">
                  <c:v>cLSM</c:v>
                </c:pt>
                <c:pt idx="1">
                  <c:v>LevelDB</c:v>
                </c:pt>
              </c:strCache>
            </c:strRef>
          </c:cat>
          <c:val>
            <c:numRef>
              <c:f>'100% RMW '!$M$37:$M$38</c:f>
              <c:numCache>
                <c:formatCode>General</c:formatCode>
                <c:ptCount val="2"/>
                <c:pt idx="0">
                  <c:v>18</c:v>
                </c:pt>
                <c:pt idx="1">
                  <c:v>49</c:v>
                </c:pt>
              </c:numCache>
            </c:numRef>
          </c:val>
        </c:ser>
        <c:overlap val="100"/>
        <c:axId val="129345408"/>
        <c:axId val="129346944"/>
      </c:barChart>
      <c:catAx>
        <c:axId val="129345408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29346944"/>
        <c:crosses val="autoZero"/>
        <c:auto val="1"/>
        <c:lblAlgn val="ctr"/>
        <c:lblOffset val="100"/>
      </c:catAx>
      <c:valAx>
        <c:axId val="129346944"/>
        <c:scaling>
          <c:orientation val="minMax"/>
          <c:max val="10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b="1" i="0" baseline="0">
                    <a:effectLst/>
                  </a:rPr>
                  <a:t>Latency (</a:t>
                </a:r>
                <a:r>
                  <a:rPr lang="en-US" sz="1400" b="0" i="0" baseline="0">
                    <a:effectLst/>
                  </a:rPr>
                  <a:t>μ</a:t>
                </a:r>
                <a:r>
                  <a:rPr lang="en-US" sz="1400" b="1" i="0" baseline="0">
                    <a:effectLst/>
                  </a:rPr>
                  <a:t> sec)</a:t>
                </a:r>
                <a:endParaRPr lang="en-US" sz="1400">
                  <a:effectLst/>
                </a:endParaRPr>
              </a:p>
            </c:rich>
          </c:tx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29345408"/>
        <c:crosses val="autoZero"/>
        <c:crossBetween val="between"/>
      </c:valAx>
    </c:plotArea>
    <c:legend>
      <c:legendPos val="r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</c:chart>
  <c:printSettings>
    <c:headerFooter/>
    <c:pageMargins b="1" l="0.75000000000000189" r="0.75000000000000189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Throughput vs. Latency (100% </a:t>
            </a:r>
            <a:r>
              <a:rPr lang="en-US" sz="1800" b="1" i="0" u="none" strike="noStrike" baseline="0"/>
              <a:t>RMW)</a:t>
            </a:r>
            <a:endParaRPr lang="en-US" sz="1800" b="1" i="0" baseline="0"/>
          </a:p>
        </c:rich>
      </c:tx>
    </c:title>
    <c:plotArea>
      <c:layout>
        <c:manualLayout>
          <c:layoutTarget val="inner"/>
          <c:xMode val="edge"/>
          <c:yMode val="edge"/>
          <c:x val="9.6381998724471757E-2"/>
          <c:y val="0.13006849460150091"/>
          <c:w val="0.67674580352516267"/>
          <c:h val="0.74863713651357744"/>
        </c:manualLayout>
      </c:layout>
      <c:scatterChart>
        <c:scatterStyle val="smoothMarker"/>
        <c:ser>
          <c:idx val="0"/>
          <c:order val="0"/>
          <c:tx>
            <c:strRef>
              <c:f>'100% RMW '!$C$67</c:f>
              <c:strCache>
                <c:ptCount val="1"/>
                <c:pt idx="0">
                  <c:v>LevelDB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diamond"/>
            <c:size val="12"/>
            <c:spPr>
              <a:noFill/>
              <a:ln w="12700">
                <a:solidFill>
                  <a:schemeClr val="tx1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t"/>
              <c:showVal val="1"/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t"/>
              <c:showVal val="1"/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4</a:t>
                    </a:r>
                  </a:p>
                </c:rich>
              </c:tx>
              <c:dLblPos val="t"/>
              <c:showVal val="1"/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</a:t>
                    </a:r>
                  </a:p>
                </c:rich>
              </c:tx>
              <c:dLblPos val="t"/>
              <c:showVal val="1"/>
            </c:dLbl>
            <c:dLblPos val="t"/>
            <c:showVal val="1"/>
          </c:dLbls>
          <c:xVal>
            <c:numRef>
              <c:f>'100% RMW '!$D$67:$G$67</c:f>
              <c:numCache>
                <c:formatCode>General</c:formatCode>
                <c:ptCount val="4"/>
                <c:pt idx="0">
                  <c:v>44692</c:v>
                </c:pt>
                <c:pt idx="1">
                  <c:v>62265</c:v>
                </c:pt>
                <c:pt idx="2">
                  <c:v>112408</c:v>
                </c:pt>
                <c:pt idx="3">
                  <c:v>138338</c:v>
                </c:pt>
              </c:numCache>
            </c:numRef>
          </c:xVal>
          <c:yVal>
            <c:numRef>
              <c:f>'100% RMW '!$D$68:$G$68</c:f>
              <c:numCache>
                <c:formatCode>General</c:formatCode>
                <c:ptCount val="4"/>
                <c:pt idx="0">
                  <c:v>16</c:v>
                </c:pt>
                <c:pt idx="1">
                  <c:v>27</c:v>
                </c:pt>
                <c:pt idx="2">
                  <c:v>27</c:v>
                </c:pt>
                <c:pt idx="3">
                  <c:v>34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'100% RMW '!$C$69</c:f>
              <c:strCache>
                <c:ptCount val="1"/>
                <c:pt idx="0">
                  <c:v>cLSM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square"/>
            <c:size val="12"/>
            <c:spPr>
              <a:solidFill>
                <a:schemeClr val="tx1"/>
              </a:solidFill>
              <a:ln w="12700">
                <a:solidFill>
                  <a:prstClr val="black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b"/>
              <c:showVal val="1"/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b"/>
              <c:showVal val="1"/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4</a:t>
                    </a:r>
                  </a:p>
                </c:rich>
              </c:tx>
              <c:dLblPos val="b"/>
              <c:showVal val="1"/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</a:t>
                    </a:r>
                  </a:p>
                </c:rich>
              </c:tx>
              <c:dLblPos val="b"/>
              <c:showVal val="1"/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16</a:t>
                    </a:r>
                  </a:p>
                </c:rich>
              </c:tx>
              <c:dLblPos val="b"/>
              <c:showVal val="1"/>
            </c:dLbl>
            <c:dLblPos val="b"/>
            <c:showVal val="1"/>
          </c:dLbls>
          <c:xVal>
            <c:numRef>
              <c:f>'100% RMW '!$D$69:$H$69</c:f>
              <c:numCache>
                <c:formatCode>General</c:formatCode>
                <c:ptCount val="5"/>
                <c:pt idx="0">
                  <c:v>58822</c:v>
                </c:pt>
                <c:pt idx="1">
                  <c:v>80299</c:v>
                </c:pt>
                <c:pt idx="2">
                  <c:v>146180</c:v>
                </c:pt>
                <c:pt idx="3">
                  <c:v>291002</c:v>
                </c:pt>
                <c:pt idx="4">
                  <c:v>391056</c:v>
                </c:pt>
              </c:numCache>
            </c:numRef>
          </c:xVal>
          <c:yVal>
            <c:numRef>
              <c:f>'100% RMW '!$D$70:$H$70</c:f>
              <c:numCache>
                <c:formatCode>General</c:formatCode>
                <c:ptCount val="5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31</c:v>
                </c:pt>
                <c:pt idx="4">
                  <c:v>35</c:v>
                </c:pt>
              </c:numCache>
            </c:numRef>
          </c:yVal>
          <c:smooth val="1"/>
        </c:ser>
        <c:axId val="129410176"/>
        <c:axId val="129412096"/>
      </c:scatterChart>
      <c:valAx>
        <c:axId val="1294101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 b="1" i="0" u="none" strike="noStrike" baseline="0"/>
                  <a:t>Throughput (</a:t>
                </a:r>
                <a:r>
                  <a:rPr lang="en-US" sz="1400" b="1" i="0" baseline="0"/>
                  <a:t>ops/sec x 10</a:t>
                </a:r>
                <a:r>
                  <a:rPr lang="en-US" sz="1400" b="1" i="0" baseline="30000"/>
                  <a:t>3</a:t>
                </a:r>
                <a:r>
                  <a:rPr lang="en-US" sz="1400" b="1" i="0" u="none" strike="noStrike" baseline="0"/>
                  <a:t>)</a:t>
                </a:r>
                <a:endParaRPr lang="en-US" sz="1400" b="1" i="0" baseline="0"/>
              </a:p>
            </c:rich>
          </c:tx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29412096"/>
        <c:crosses val="autoZero"/>
        <c:crossBetween val="midCat"/>
      </c:valAx>
      <c:valAx>
        <c:axId val="129412096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 b="1" i="0" baseline="0"/>
                  <a:t>90% Latency (</a:t>
                </a:r>
                <a:r>
                  <a:rPr lang="el-GR" sz="1400" b="0" i="0" baseline="0"/>
                  <a:t>μ</a:t>
                </a:r>
                <a:r>
                  <a:rPr lang="el-GR" sz="1400" b="1" i="0" baseline="0"/>
                  <a:t> </a:t>
                </a:r>
                <a:r>
                  <a:rPr lang="en-US" sz="1400" b="1" i="0" baseline="0"/>
                  <a:t>sec)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1.9023348019507419E-2"/>
              <c:y val="0.381536545538222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2941017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3472954294334989"/>
          <c:y val="0.39997945364228138"/>
          <c:w val="0.13086805555555556"/>
          <c:h val="0.12732764654418197"/>
        </c:manualLayout>
      </c:layout>
      <c:txPr>
        <a:bodyPr/>
        <a:lstStyle/>
        <a:p>
          <a:pPr>
            <a:defRPr sz="1400"/>
          </a:pPr>
          <a:endParaRPr lang="en-US"/>
        </a:p>
      </c:txPr>
    </c:legend>
    <c:plotVisOnly val="1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Mixed Read/Write</a:t>
            </a:r>
            <a:r>
              <a:rPr lang="en-US" sz="1800" baseline="0"/>
              <a:t> Throughput (8 threads)</a:t>
            </a:r>
            <a:endParaRPr lang="en-US" sz="1800"/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'var buffer size'!$C$27</c:f>
              <c:strCache>
                <c:ptCount val="1"/>
                <c:pt idx="0">
                  <c:v>LevelDB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cat>
            <c:numRef>
              <c:f>'var buffer size'!$D$26:$J$26</c:f>
              <c:numCache>
                <c:formatCode>General</c:formatCode>
                <c:ptCount val="7"/>
                <c:pt idx="0">
                  <c:v>1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</c:numCache>
            </c:numRef>
          </c:cat>
          <c:val>
            <c:numRef>
              <c:f>'var buffer size'!$D$27:$J$27</c:f>
              <c:numCache>
                <c:formatCode>General</c:formatCode>
                <c:ptCount val="7"/>
                <c:pt idx="0">
                  <c:v>102819</c:v>
                </c:pt>
                <c:pt idx="1">
                  <c:v>138660</c:v>
                </c:pt>
                <c:pt idx="2">
                  <c:v>136284</c:v>
                </c:pt>
                <c:pt idx="3">
                  <c:v>147368</c:v>
                </c:pt>
                <c:pt idx="4">
                  <c:v>141410</c:v>
                </c:pt>
                <c:pt idx="5">
                  <c:v>137262</c:v>
                </c:pt>
                <c:pt idx="6">
                  <c:v>136775</c:v>
                </c:pt>
              </c:numCache>
            </c:numRef>
          </c:val>
        </c:ser>
        <c:ser>
          <c:idx val="1"/>
          <c:order val="1"/>
          <c:tx>
            <c:strRef>
              <c:f>'var buffer size'!$C$28</c:f>
              <c:strCache>
                <c:ptCount val="1"/>
                <c:pt idx="0">
                  <c:v>cLSM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cat>
            <c:numRef>
              <c:f>'var buffer size'!$D$26:$J$26</c:f>
              <c:numCache>
                <c:formatCode>General</c:formatCode>
                <c:ptCount val="7"/>
                <c:pt idx="0">
                  <c:v>1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</c:numCache>
            </c:numRef>
          </c:cat>
          <c:val>
            <c:numRef>
              <c:f>'var buffer size'!$D$28:$J$28</c:f>
              <c:numCache>
                <c:formatCode>General</c:formatCode>
                <c:ptCount val="7"/>
                <c:pt idx="0">
                  <c:v>295579</c:v>
                </c:pt>
                <c:pt idx="1">
                  <c:v>331837</c:v>
                </c:pt>
                <c:pt idx="2">
                  <c:v>390513</c:v>
                </c:pt>
                <c:pt idx="3">
                  <c:v>454502</c:v>
                </c:pt>
                <c:pt idx="4">
                  <c:v>508223</c:v>
                </c:pt>
                <c:pt idx="5">
                  <c:v>537163</c:v>
                </c:pt>
                <c:pt idx="6">
                  <c:v>545682</c:v>
                </c:pt>
              </c:numCache>
            </c:numRef>
          </c:val>
        </c:ser>
        <c:axId val="129651072"/>
        <c:axId val="129652992"/>
      </c:barChart>
      <c:catAx>
        <c:axId val="1296510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Memory</a:t>
                </a:r>
                <a:r>
                  <a:rPr lang="en-US" sz="1400" baseline="0"/>
                  <a:t> Component Size (MB)</a:t>
                </a:r>
                <a:endParaRPr lang="en-US" sz="1400"/>
              </a:p>
            </c:rich>
          </c:tx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29652992"/>
        <c:crosses val="autoZero"/>
        <c:auto val="1"/>
        <c:lblAlgn val="ctr"/>
        <c:lblOffset val="100"/>
      </c:catAx>
      <c:valAx>
        <c:axId val="129652992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29651072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2.5870646766169247E-2"/>
                <c:y val="0.34891454137423089"/>
              </c:manualLayout>
            </c:layout>
            <c:tx>
              <c:rich>
                <a:bodyPr/>
                <a:lstStyle/>
                <a:p>
                  <a:pPr marL="0" marR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fr-FR" sz="1400" b="1" i="0" baseline="0">
                      <a:effectLst/>
                    </a:rPr>
                    <a:t>ops/sec x 10</a:t>
                  </a:r>
                  <a:r>
                    <a:rPr lang="fr-FR" sz="1400" b="1" i="0" baseline="30000">
                      <a:effectLst/>
                    </a:rPr>
                    <a:t>3</a:t>
                  </a:r>
                  <a:endParaRPr lang="fr-FR" sz="1400">
                    <a:effectLst/>
                  </a:endParaRPr>
                </a:p>
                <a:p>
                  <a:pPr marL="0" marR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sz="1400"/>
                </a:p>
              </c:rich>
            </c:tx>
          </c:dispUnitsLbl>
        </c:dispUnits>
      </c:valAx>
    </c:plotArea>
    <c:legend>
      <c:legendPos val="r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</c:chart>
  <c:printSettings>
    <c:headerFooter/>
    <c:pageMargins b="0.75000000000000278" l="0.70000000000000162" r="0.70000000000000162" t="0.75000000000000278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Mixed Read/Write Throughput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'var buffer size'!$C$35</c:f>
              <c:strCache>
                <c:ptCount val="1"/>
                <c:pt idx="0">
                  <c:v>LevelDB</c:v>
                </c:pt>
              </c:strCache>
            </c:strRef>
          </c:tx>
          <c:spPr>
            <a:solidFill>
              <a:srgbClr val="0000FF"/>
            </a:solidFill>
          </c:spPr>
          <c:cat>
            <c:numRef>
              <c:f>'var buffer size'!$D$34:$J$34</c:f>
              <c:numCache>
                <c:formatCode>General</c:formatCode>
                <c:ptCount val="7"/>
                <c:pt idx="0">
                  <c:v>1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</c:numCache>
            </c:numRef>
          </c:cat>
          <c:val>
            <c:numRef>
              <c:f>'var buffer size'!$D$35:$J$35</c:f>
              <c:numCache>
                <c:formatCode>General</c:formatCode>
                <c:ptCount val="7"/>
                <c:pt idx="0">
                  <c:v>109041</c:v>
                </c:pt>
                <c:pt idx="1">
                  <c:v>156160</c:v>
                </c:pt>
                <c:pt idx="2">
                  <c:v>159538</c:v>
                </c:pt>
                <c:pt idx="3">
                  <c:v>162641</c:v>
                </c:pt>
                <c:pt idx="4">
                  <c:v>161286</c:v>
                </c:pt>
                <c:pt idx="5">
                  <c:v>157547</c:v>
                </c:pt>
                <c:pt idx="6">
                  <c:v>154692</c:v>
                </c:pt>
              </c:numCache>
            </c:numRef>
          </c:val>
        </c:ser>
        <c:ser>
          <c:idx val="1"/>
          <c:order val="1"/>
          <c:tx>
            <c:strRef>
              <c:f>'var buffer size'!$C$36</c:f>
              <c:strCache>
                <c:ptCount val="1"/>
                <c:pt idx="0">
                  <c:v>cLSM</c:v>
                </c:pt>
              </c:strCache>
            </c:strRef>
          </c:tx>
          <c:spPr>
            <a:solidFill>
              <a:srgbClr val="FF0000"/>
            </a:solidFill>
          </c:spPr>
          <c:cat>
            <c:numRef>
              <c:f>'var buffer size'!$D$34:$J$34</c:f>
              <c:numCache>
                <c:formatCode>General</c:formatCode>
                <c:ptCount val="7"/>
                <c:pt idx="0">
                  <c:v>1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</c:numCache>
            </c:numRef>
          </c:cat>
          <c:val>
            <c:numRef>
              <c:f>'var buffer size'!$D$36:$J$36</c:f>
              <c:numCache>
                <c:formatCode>General</c:formatCode>
                <c:ptCount val="7"/>
                <c:pt idx="0">
                  <c:v>533954</c:v>
                </c:pt>
                <c:pt idx="1">
                  <c:v>563804</c:v>
                </c:pt>
                <c:pt idx="2">
                  <c:v>617212</c:v>
                </c:pt>
                <c:pt idx="3">
                  <c:v>664007</c:v>
                </c:pt>
                <c:pt idx="4">
                  <c:v>705261</c:v>
                </c:pt>
                <c:pt idx="5">
                  <c:v>727265</c:v>
                </c:pt>
                <c:pt idx="6">
                  <c:v>707607</c:v>
                </c:pt>
              </c:numCache>
            </c:numRef>
          </c:val>
        </c:ser>
        <c:axId val="129681280"/>
        <c:axId val="129691648"/>
      </c:barChart>
      <c:catAx>
        <c:axId val="1296812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Memory Component Size</a:t>
                </a:r>
              </a:p>
            </c:rich>
          </c:tx>
        </c:title>
        <c:numFmt formatCode="General" sourceLinked="1"/>
        <c:tickLblPos val="nextTo"/>
        <c:crossAx val="129691648"/>
        <c:crosses val="autoZero"/>
        <c:auto val="1"/>
        <c:lblAlgn val="ctr"/>
        <c:lblOffset val="100"/>
      </c:catAx>
      <c:valAx>
        <c:axId val="129691648"/>
        <c:scaling>
          <c:orientation val="minMax"/>
        </c:scaling>
        <c:axPos val="l"/>
        <c:numFmt formatCode="General" sourceLinked="1"/>
        <c:tickLblPos val="nextTo"/>
        <c:crossAx val="129681280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1.5944195316392663E-2"/>
                <c:y val="0.24257425742574301"/>
              </c:manualLayout>
            </c:layout>
            <c:tx>
              <c:rich>
                <a:bodyPr/>
                <a:lstStyle/>
                <a:p>
                  <a:pPr>
                    <a:defRPr/>
                  </a:pPr>
                  <a:r>
                    <a:rPr lang="fr-FR" sz="1000" b="1" i="0" baseline="0">
                      <a:effectLst/>
                    </a:rPr>
                    <a:t>ops/sec x 10</a:t>
                  </a:r>
                  <a:r>
                    <a:rPr lang="fr-FR" sz="1000" b="1" i="0" baseline="30000">
                      <a:effectLst/>
                    </a:rPr>
                    <a:t>3</a:t>
                  </a:r>
                  <a:endParaRPr lang="fr-FR" sz="1000">
                    <a:effectLst/>
                  </a:endParaRPr>
                </a:p>
              </c:rich>
            </c:tx>
          </c:dispUnitsLbl>
        </c:dispUnits>
      </c:valAx>
    </c:plotArea>
    <c:legend>
      <c:legendPos val="r"/>
    </c:legend>
    <c:plotVisOnly val="1"/>
    <c:dispBlanksAs val="gap"/>
  </c:chart>
  <c:printSettings>
    <c:headerFooter/>
    <c:pageMargins b="0.75000000000000278" l="0.70000000000000162" r="0.70000000000000162" t="0.75000000000000278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Mixed</a:t>
            </a:r>
            <a:r>
              <a:rPr lang="en-US" sz="1800" baseline="0"/>
              <a:t> Read/Write Throughput</a:t>
            </a:r>
            <a:endParaRPr lang="en-US" sz="1800"/>
          </a:p>
        </c:rich>
      </c:tx>
    </c:title>
    <c:plotArea>
      <c:layout/>
      <c:barChart>
        <c:barDir val="col"/>
        <c:grouping val="clustered"/>
        <c:ser>
          <c:idx val="4"/>
          <c:order val="0"/>
          <c:tx>
            <c:strRef>
              <c:f>'50% read , 50% write'!$C$24</c:f>
              <c:strCache>
                <c:ptCount val="1"/>
                <c:pt idx="0">
                  <c:v>rocksDB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</c:spPr>
          <c:val>
            <c:numRef>
              <c:f>'50% read , 50% write'!$D$24:$H$24</c:f>
              <c:numCache>
                <c:formatCode>General</c:formatCode>
                <c:ptCount val="5"/>
                <c:pt idx="0">
                  <c:v>18314</c:v>
                </c:pt>
                <c:pt idx="1">
                  <c:v>37829</c:v>
                </c:pt>
                <c:pt idx="2">
                  <c:v>51417</c:v>
                </c:pt>
                <c:pt idx="3">
                  <c:v>90808</c:v>
                </c:pt>
                <c:pt idx="4">
                  <c:v>113778</c:v>
                </c:pt>
              </c:numCache>
            </c:numRef>
          </c:val>
        </c:ser>
        <c:ser>
          <c:idx val="0"/>
          <c:order val="1"/>
          <c:tx>
            <c:strRef>
              <c:f>'50% read , 50% write'!$C$23</c:f>
              <c:strCache>
                <c:ptCount val="1"/>
                <c:pt idx="0">
                  <c:v>bLSM</c:v>
                </c:pt>
              </c:strCache>
            </c:strRef>
          </c:tx>
          <c:spPr>
            <a:pattFill prst="ltUpDiag">
              <a:fgClr>
                <a:schemeClr val="tx1"/>
              </a:fgClr>
              <a:bgClr>
                <a:prstClr val="white"/>
              </a:bgClr>
            </a:pattFill>
            <a:ln>
              <a:solidFill>
                <a:schemeClr val="tx1"/>
              </a:solidFill>
            </a:ln>
          </c:spPr>
          <c:cat>
            <c:numRef>
              <c:f>'50% read , 50% write'!$D$19:$H$19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'50% read , 50% write'!$D$23:$H$23</c:f>
              <c:numCache>
                <c:formatCode>General</c:formatCode>
                <c:ptCount val="5"/>
                <c:pt idx="0">
                  <c:v>135351</c:v>
                </c:pt>
                <c:pt idx="1">
                  <c:v>115977</c:v>
                </c:pt>
                <c:pt idx="2">
                  <c:v>107074</c:v>
                </c:pt>
                <c:pt idx="3">
                  <c:v>107292</c:v>
                </c:pt>
                <c:pt idx="4">
                  <c:v>105072</c:v>
                </c:pt>
              </c:numCache>
            </c:numRef>
          </c:val>
        </c:ser>
        <c:ser>
          <c:idx val="1"/>
          <c:order val="2"/>
          <c:tx>
            <c:strRef>
              <c:f>'50% read , 50% write'!$C$20</c:f>
              <c:strCache>
                <c:ptCount val="1"/>
                <c:pt idx="0">
                  <c:v>LevelDB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cat>
            <c:numRef>
              <c:f>'50% read , 50% write'!$D$19:$H$19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'50% read , 50% write'!$D$20:$H$20</c:f>
              <c:numCache>
                <c:formatCode>General</c:formatCode>
                <c:ptCount val="5"/>
                <c:pt idx="0">
                  <c:v>86268</c:v>
                </c:pt>
                <c:pt idx="1">
                  <c:v>120788</c:v>
                </c:pt>
                <c:pt idx="2">
                  <c:v>137493</c:v>
                </c:pt>
                <c:pt idx="3">
                  <c:v>142541</c:v>
                </c:pt>
                <c:pt idx="4">
                  <c:v>159686</c:v>
                </c:pt>
              </c:numCache>
            </c:numRef>
          </c:val>
        </c:ser>
        <c:ser>
          <c:idx val="2"/>
          <c:order val="3"/>
          <c:tx>
            <c:strRef>
              <c:f>'50% read , 50% write'!$C$22</c:f>
              <c:strCache>
                <c:ptCount val="1"/>
                <c:pt idx="0">
                  <c:v>HyperLevelDB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tx1"/>
              </a:solidFill>
            </a:ln>
          </c:spPr>
          <c:cat>
            <c:numRef>
              <c:f>'50% read , 50% write'!$D$19:$H$19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'50% read , 50% write'!$D$22:$H$22</c:f>
              <c:numCache>
                <c:formatCode>General</c:formatCode>
                <c:ptCount val="5"/>
                <c:pt idx="0">
                  <c:v>100406</c:v>
                </c:pt>
                <c:pt idx="1">
                  <c:v>160024</c:v>
                </c:pt>
                <c:pt idx="2">
                  <c:v>283404</c:v>
                </c:pt>
                <c:pt idx="3">
                  <c:v>340899</c:v>
                </c:pt>
                <c:pt idx="4">
                  <c:v>68733</c:v>
                </c:pt>
              </c:numCache>
            </c:numRef>
          </c:val>
        </c:ser>
        <c:ser>
          <c:idx val="3"/>
          <c:order val="4"/>
          <c:tx>
            <c:strRef>
              <c:f>'50% read , 50% write'!$C$21</c:f>
              <c:strCache>
                <c:ptCount val="1"/>
                <c:pt idx="0">
                  <c:v>cLSM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cat>
            <c:numRef>
              <c:f>'50% read , 50% write'!$D$19:$H$19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'50% read , 50% write'!$D$21:$H$21</c:f>
              <c:numCache>
                <c:formatCode>General</c:formatCode>
                <c:ptCount val="5"/>
                <c:pt idx="0">
                  <c:v>89385</c:v>
                </c:pt>
                <c:pt idx="1">
                  <c:v>138356</c:v>
                </c:pt>
                <c:pt idx="2">
                  <c:v>254672</c:v>
                </c:pt>
                <c:pt idx="3">
                  <c:v>524508</c:v>
                </c:pt>
                <c:pt idx="4">
                  <c:v>731136</c:v>
                </c:pt>
              </c:numCache>
            </c:numRef>
          </c:val>
        </c:ser>
        <c:axId val="129712896"/>
        <c:axId val="129714816"/>
      </c:barChart>
      <c:catAx>
        <c:axId val="1297128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Worker threads</a:t>
                </a:r>
              </a:p>
            </c:rich>
          </c:tx>
          <c:layout>
            <c:manualLayout>
              <c:xMode val="edge"/>
              <c:yMode val="edge"/>
              <c:x val="0.37301653376130589"/>
              <c:y val="0.8964289927928385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29714816"/>
        <c:crosses val="autoZero"/>
        <c:auto val="1"/>
        <c:lblAlgn val="ctr"/>
        <c:lblOffset val="100"/>
      </c:catAx>
      <c:valAx>
        <c:axId val="129714816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29712896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2.5380744604376712E-2"/>
                <c:y val="0.32784400728410801"/>
              </c:manualLayout>
            </c:layout>
            <c:tx>
              <c:rich>
                <a:bodyPr/>
                <a:lstStyle/>
                <a:p>
                  <a:pPr>
                    <a:defRPr sz="1400"/>
                  </a:pPr>
                  <a:r>
                    <a:rPr lang="fr-FR" sz="1400" b="1" i="0" baseline="0">
                      <a:effectLst/>
                    </a:rPr>
                    <a:t>ops/sec x 10</a:t>
                  </a:r>
                  <a:r>
                    <a:rPr lang="fr-FR" sz="1400" b="1" i="0" baseline="30000">
                      <a:effectLst/>
                    </a:rPr>
                    <a:t>3</a:t>
                  </a:r>
                  <a:endParaRPr lang="fr-FR" sz="1400">
                    <a:effectLst/>
                  </a:endParaRPr>
                </a:p>
              </c:rich>
            </c:tx>
          </c:dispUnitsLbl>
        </c:dispUnits>
      </c:valAx>
    </c:plotArea>
    <c:legend>
      <c:legendPos val="r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</c:chart>
  <c:printSettings>
    <c:headerFooter/>
    <c:pageMargins b="1" l="0.75000000000000189" r="0.75000000000000189" t="1" header="0.5" footer="0.5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2000"/>
              <a:t>Mixed</a:t>
            </a:r>
            <a:r>
              <a:rPr lang="en-US" sz="2000" baseline="0"/>
              <a:t> Scan/Write Throughput</a:t>
            </a:r>
            <a:endParaRPr lang="en-US" sz="2000"/>
          </a:p>
        </c:rich>
      </c:tx>
    </c:title>
    <c:plotArea>
      <c:layout/>
      <c:barChart>
        <c:barDir val="col"/>
        <c:grouping val="clustered"/>
        <c:ser>
          <c:idx val="3"/>
          <c:order val="0"/>
          <c:tx>
            <c:strRef>
              <c:f>'50% scans, 50% writes'!$C$23</c:f>
              <c:strCache>
                <c:ptCount val="1"/>
                <c:pt idx="0">
                  <c:v>rocksDB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</c:spPr>
          <c:cat>
            <c:numRef>
              <c:f>'50% scans, 50% writes'!$D$19:$H$19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'50% scans, 50% writes'!$D$23:$H$23</c:f>
              <c:numCache>
                <c:formatCode>General</c:formatCode>
                <c:ptCount val="5"/>
                <c:pt idx="0">
                  <c:v>24068</c:v>
                </c:pt>
                <c:pt idx="1">
                  <c:v>49714</c:v>
                </c:pt>
                <c:pt idx="2">
                  <c:v>67571</c:v>
                </c:pt>
                <c:pt idx="3">
                  <c:v>119339</c:v>
                </c:pt>
                <c:pt idx="4">
                  <c:v>149526</c:v>
                </c:pt>
              </c:numCache>
            </c:numRef>
          </c:val>
        </c:ser>
        <c:ser>
          <c:idx val="0"/>
          <c:order val="1"/>
          <c:tx>
            <c:strRef>
              <c:f>'50% scans, 50% writes'!$C$20</c:f>
              <c:strCache>
                <c:ptCount val="1"/>
                <c:pt idx="0">
                  <c:v>LevelDB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cat>
            <c:numRef>
              <c:f>'50% scans, 50% writes'!$D$19:$H$19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'50% scans, 50% writes'!$D$20:$H$20</c:f>
              <c:numCache>
                <c:formatCode>General</c:formatCode>
                <c:ptCount val="5"/>
                <c:pt idx="0">
                  <c:v>95066</c:v>
                </c:pt>
                <c:pt idx="1">
                  <c:v>256629</c:v>
                </c:pt>
                <c:pt idx="2">
                  <c:v>212926</c:v>
                </c:pt>
                <c:pt idx="3">
                  <c:v>189746</c:v>
                </c:pt>
                <c:pt idx="4">
                  <c:v>198798</c:v>
                </c:pt>
              </c:numCache>
            </c:numRef>
          </c:val>
        </c:ser>
        <c:ser>
          <c:idx val="2"/>
          <c:order val="2"/>
          <c:tx>
            <c:strRef>
              <c:f>'50% scans, 50% writes'!$C$22</c:f>
              <c:strCache>
                <c:ptCount val="1"/>
                <c:pt idx="0">
                  <c:v>HyperLevelDB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tx1"/>
              </a:solidFill>
            </a:ln>
          </c:spPr>
          <c:cat>
            <c:numRef>
              <c:f>'50% scans, 50% writes'!$D$19:$H$19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'50% scans, 50% writes'!$D$22:$H$22</c:f>
              <c:numCache>
                <c:formatCode>General</c:formatCode>
                <c:ptCount val="5"/>
                <c:pt idx="0">
                  <c:v>125780</c:v>
                </c:pt>
                <c:pt idx="1">
                  <c:v>315713</c:v>
                </c:pt>
                <c:pt idx="2">
                  <c:v>419387</c:v>
                </c:pt>
                <c:pt idx="3">
                  <c:v>403212</c:v>
                </c:pt>
                <c:pt idx="4">
                  <c:v>76426</c:v>
                </c:pt>
              </c:numCache>
            </c:numRef>
          </c:val>
        </c:ser>
        <c:ser>
          <c:idx val="1"/>
          <c:order val="3"/>
          <c:tx>
            <c:strRef>
              <c:f>'50% scans, 50% writes'!$C$21</c:f>
              <c:strCache>
                <c:ptCount val="1"/>
                <c:pt idx="0">
                  <c:v>cLSM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cat>
            <c:numRef>
              <c:f>'50% scans, 50% writes'!$D$19:$H$19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'50% scans, 50% writes'!$D$21:$H$21</c:f>
              <c:numCache>
                <c:formatCode>General</c:formatCode>
                <c:ptCount val="5"/>
                <c:pt idx="0">
                  <c:v>117469</c:v>
                </c:pt>
                <c:pt idx="1">
                  <c:v>400293</c:v>
                </c:pt>
                <c:pt idx="2">
                  <c:v>614693</c:v>
                </c:pt>
                <c:pt idx="3">
                  <c:v>697900</c:v>
                </c:pt>
                <c:pt idx="4">
                  <c:v>652199</c:v>
                </c:pt>
              </c:numCache>
            </c:numRef>
          </c:val>
        </c:ser>
        <c:axId val="129791488"/>
        <c:axId val="129793408"/>
      </c:barChart>
      <c:catAx>
        <c:axId val="1297914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Worker Threads</a:t>
                </a:r>
              </a:p>
            </c:rich>
          </c:tx>
        </c:title>
        <c:numFmt formatCode="General" sourceLinked="1"/>
        <c:tickLblPos val="nextTo"/>
        <c:crossAx val="129793408"/>
        <c:crosses val="autoZero"/>
        <c:auto val="1"/>
        <c:lblAlgn val="ctr"/>
        <c:lblOffset val="100"/>
      </c:catAx>
      <c:valAx>
        <c:axId val="129793408"/>
        <c:scaling>
          <c:orientation val="minMax"/>
        </c:scaling>
        <c:axPos val="l"/>
        <c:numFmt formatCode="General" sourceLinked="1"/>
        <c:tickLblPos val="nextTo"/>
        <c:crossAx val="129791488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2.4729520865533199E-2"/>
                <c:y val="0.40860901079418099"/>
              </c:manualLayout>
            </c:layout>
            <c:tx>
              <c:rich>
                <a:bodyPr/>
                <a:lstStyle/>
                <a:p>
                  <a:pPr>
                    <a:defRPr/>
                  </a:pPr>
                  <a:r>
                    <a:rPr lang="fr-FR" sz="1400" b="1" i="0" baseline="0">
                      <a:effectLst/>
                    </a:rPr>
                    <a:t>keys/sec x 10</a:t>
                  </a:r>
                  <a:r>
                    <a:rPr lang="fr-FR" sz="1400" b="1" i="0" baseline="30000">
                      <a:effectLst/>
                    </a:rPr>
                    <a:t>3</a:t>
                  </a:r>
                  <a:endParaRPr lang="fr-FR" sz="1400">
                    <a:effectLst/>
                  </a:endParaRPr>
                </a:p>
              </c:rich>
            </c:tx>
          </c:dispUnitsLbl>
        </c:dispUnits>
      </c:valAx>
    </c:plotArea>
    <c:legend>
      <c:legendPos val="r"/>
      <c:layout>
        <c:manualLayout>
          <c:xMode val="edge"/>
          <c:yMode val="edge"/>
          <c:x val="0.72476488336154365"/>
          <c:y val="0.33983026542212136"/>
          <c:w val="0.27010947829382292"/>
          <c:h val="0.270430399739856"/>
        </c:manualLayout>
      </c:layout>
    </c:legend>
    <c:plotVisOnly val="1"/>
    <c:dispBlanksAs val="gap"/>
  </c:chart>
  <c:txPr>
    <a:bodyPr/>
    <a:lstStyle/>
    <a:p>
      <a:pPr>
        <a:defRPr sz="1400"/>
      </a:pPr>
      <a:endParaRPr lang="en-US"/>
    </a:p>
  </c:txPr>
  <c:printSettings>
    <c:headerFooter/>
    <c:pageMargins b="0.75000000000000377" l="0.70000000000000162" r="0.70000000000000162" t="0.75000000000000377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 sz="2000"/>
            </a:pPr>
            <a:r>
              <a:rPr lang="en-US" sz="2000" baseline="0"/>
              <a:t>Throughput</a:t>
            </a:r>
            <a:endParaRPr lang="en-US" sz="2000"/>
          </a:p>
        </c:rich>
      </c:tx>
      <c:layout>
        <c:manualLayout>
          <c:xMode val="edge"/>
          <c:yMode val="edge"/>
          <c:x val="0.37202576068702192"/>
          <c:y val="3.1376578686389572E-2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strRef>
              <c:f>'Heavy compactions'!$C$20</c:f>
              <c:strCache>
                <c:ptCount val="1"/>
                <c:pt idx="0">
                  <c:v>rocksDB</c:v>
                </c:pt>
              </c:strCache>
            </c:strRef>
          </c:tx>
          <c:spPr>
            <a:pattFill prst="narHorz">
              <a:fgClr>
                <a:srgbClr val="FFFFFF"/>
              </a:fgClr>
              <a:bgClr>
                <a:srgbClr val="000000"/>
              </a:bgClr>
            </a:pattFill>
            <a:ln>
              <a:solidFill>
                <a:schemeClr val="tx1"/>
              </a:solidFill>
            </a:ln>
          </c:spPr>
          <c:cat>
            <c:numRef>
              <c:f>'Heavy compactions'!$D$19:$H$19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'Heavy compactions'!$D$20:$H$20</c:f>
              <c:numCache>
                <c:formatCode>General</c:formatCode>
                <c:ptCount val="5"/>
                <c:pt idx="0">
                  <c:v>26548</c:v>
                </c:pt>
                <c:pt idx="1">
                  <c:v>30663</c:v>
                </c:pt>
                <c:pt idx="2">
                  <c:v>37169</c:v>
                </c:pt>
                <c:pt idx="3">
                  <c:v>40630</c:v>
                </c:pt>
                <c:pt idx="4">
                  <c:v>41583</c:v>
                </c:pt>
              </c:numCache>
            </c:numRef>
          </c:val>
        </c:ser>
        <c:ser>
          <c:idx val="1"/>
          <c:order val="1"/>
          <c:tx>
            <c:strRef>
              <c:f>'Heavy compactions'!$C$22</c:f>
              <c:strCache>
                <c:ptCount val="1"/>
                <c:pt idx="0">
                  <c:v>cLSM 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cat>
            <c:numRef>
              <c:f>'Heavy compactions'!$D$19:$H$19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'Heavy compactions'!$D$22:$H$22</c:f>
              <c:numCache>
                <c:formatCode>General</c:formatCode>
                <c:ptCount val="5"/>
                <c:pt idx="0">
                  <c:v>12172</c:v>
                </c:pt>
                <c:pt idx="1">
                  <c:v>18988</c:v>
                </c:pt>
                <c:pt idx="2">
                  <c:v>24281</c:v>
                </c:pt>
                <c:pt idx="3">
                  <c:v>34765</c:v>
                </c:pt>
                <c:pt idx="4">
                  <c:v>41576</c:v>
                </c:pt>
              </c:numCache>
            </c:numRef>
          </c:val>
        </c:ser>
        <c:axId val="134435584"/>
        <c:axId val="134437504"/>
      </c:barChart>
      <c:catAx>
        <c:axId val="1344355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Worker threads</a:t>
                </a:r>
              </a:p>
            </c:rich>
          </c:tx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34437504"/>
        <c:crosses val="autoZero"/>
        <c:auto val="1"/>
        <c:lblAlgn val="ctr"/>
        <c:lblOffset val="100"/>
      </c:catAx>
      <c:valAx>
        <c:axId val="134437504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ops/sec x 10</a:t>
                </a:r>
                <a:r>
                  <a:rPr lang="en-US" sz="1400" baseline="30000"/>
                  <a:t>3</a:t>
                </a:r>
              </a:p>
            </c:rich>
          </c:tx>
          <c:layout>
            <c:manualLayout>
              <c:xMode val="edge"/>
              <c:yMode val="edge"/>
              <c:x val="1.7897091722595106E-2"/>
              <c:y val="0.29223327571858393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34435584"/>
        <c:crosses val="autoZero"/>
        <c:crossBetween val="between"/>
        <c:dispUnits>
          <c:builtInUnit val="thousands"/>
        </c:dispUnits>
      </c:valAx>
    </c:plotArea>
    <c:legend>
      <c:legendPos val="r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</c:chart>
  <c:printSettings>
    <c:headerFooter/>
    <c:pageMargins b="1" l="0.75000000000000233" r="0.75000000000000233" t="1" header="0.5" footer="0.5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Dataset 1</a:t>
            </a:r>
          </a:p>
        </c:rich>
      </c:tx>
      <c:overlay val="1"/>
    </c:title>
    <c:plotArea>
      <c:layout/>
      <c:barChart>
        <c:barDir val="col"/>
        <c:grouping val="clustered"/>
        <c:ser>
          <c:idx val="3"/>
          <c:order val="0"/>
          <c:tx>
            <c:strRef>
              <c:f>ProdA!$C$23</c:f>
              <c:strCache>
                <c:ptCount val="1"/>
                <c:pt idx="0">
                  <c:v>rocksDB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</c:spPr>
          <c:val>
            <c:numRef>
              <c:f>ProdA!$D$23:$H$23</c:f>
              <c:numCache>
                <c:formatCode>General</c:formatCode>
                <c:ptCount val="5"/>
                <c:pt idx="0">
                  <c:v>108408</c:v>
                </c:pt>
                <c:pt idx="1">
                  <c:v>105876</c:v>
                </c:pt>
                <c:pt idx="2">
                  <c:v>175567</c:v>
                </c:pt>
                <c:pt idx="3">
                  <c:v>277972</c:v>
                </c:pt>
                <c:pt idx="4">
                  <c:v>300238</c:v>
                </c:pt>
              </c:numCache>
            </c:numRef>
          </c:val>
        </c:ser>
        <c:ser>
          <c:idx val="0"/>
          <c:order val="1"/>
          <c:tx>
            <c:strRef>
              <c:f>ProdA!$C$20</c:f>
              <c:strCache>
                <c:ptCount val="1"/>
                <c:pt idx="0">
                  <c:v>LevelDB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cat>
            <c:numRef>
              <c:f>ProdA!$D$19:$H$19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ProdA!$D$20:$H$20</c:f>
              <c:numCache>
                <c:formatCode>General</c:formatCode>
                <c:ptCount val="5"/>
                <c:pt idx="0">
                  <c:v>331063</c:v>
                </c:pt>
                <c:pt idx="1">
                  <c:v>335183</c:v>
                </c:pt>
                <c:pt idx="2">
                  <c:v>530788</c:v>
                </c:pt>
                <c:pt idx="3">
                  <c:v>605825</c:v>
                </c:pt>
                <c:pt idx="4">
                  <c:v>530981</c:v>
                </c:pt>
              </c:numCache>
            </c:numRef>
          </c:val>
        </c:ser>
        <c:ser>
          <c:idx val="2"/>
          <c:order val="2"/>
          <c:tx>
            <c:strRef>
              <c:f>ProdA!$C$22</c:f>
              <c:strCache>
                <c:ptCount val="1"/>
                <c:pt idx="0">
                  <c:v>HyperLevelDB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tx1"/>
              </a:solidFill>
            </a:ln>
          </c:spPr>
          <c:cat>
            <c:numRef>
              <c:f>ProdA!$D$19:$H$19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ProdA!$D$22:$H$22</c:f>
              <c:numCache>
                <c:formatCode>General</c:formatCode>
                <c:ptCount val="5"/>
                <c:pt idx="0">
                  <c:v>367467</c:v>
                </c:pt>
                <c:pt idx="1">
                  <c:v>323893</c:v>
                </c:pt>
                <c:pt idx="2">
                  <c:v>526590</c:v>
                </c:pt>
                <c:pt idx="3">
                  <c:v>628690</c:v>
                </c:pt>
                <c:pt idx="4">
                  <c:v>506685</c:v>
                </c:pt>
              </c:numCache>
            </c:numRef>
          </c:val>
        </c:ser>
        <c:ser>
          <c:idx val="1"/>
          <c:order val="3"/>
          <c:tx>
            <c:strRef>
              <c:f>ProdA!$C$21</c:f>
              <c:strCache>
                <c:ptCount val="1"/>
                <c:pt idx="0">
                  <c:v>cLSM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cat>
            <c:numRef>
              <c:f>ProdA!$D$19:$H$19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ProdA!$D$21:$H$21</c:f>
              <c:numCache>
                <c:formatCode>General</c:formatCode>
                <c:ptCount val="5"/>
                <c:pt idx="0">
                  <c:v>270711</c:v>
                </c:pt>
                <c:pt idx="1">
                  <c:v>292714</c:v>
                </c:pt>
                <c:pt idx="2">
                  <c:v>490496</c:v>
                </c:pt>
                <c:pt idx="3">
                  <c:v>809631</c:v>
                </c:pt>
                <c:pt idx="4">
                  <c:v>1010903</c:v>
                </c:pt>
              </c:numCache>
            </c:numRef>
          </c:val>
        </c:ser>
        <c:axId val="129877888"/>
        <c:axId val="129888256"/>
      </c:barChart>
      <c:catAx>
        <c:axId val="1298778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Worker Threads</a:t>
                </a:r>
              </a:p>
            </c:rich>
          </c:tx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29888256"/>
        <c:crosses val="autoZero"/>
        <c:auto val="1"/>
        <c:lblAlgn val="ctr"/>
        <c:lblOffset val="100"/>
      </c:catAx>
      <c:valAx>
        <c:axId val="129888256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fr-FR" sz="1400" b="1" i="0" baseline="0">
                    <a:effectLst/>
                  </a:rPr>
                  <a:t>ops/sec x 10</a:t>
                </a:r>
                <a:r>
                  <a:rPr lang="fr-FR" sz="1400" b="1" i="0" baseline="30000">
                    <a:effectLst/>
                  </a:rPr>
                  <a:t>3</a:t>
                </a:r>
                <a:endParaRPr lang="fr-FR" sz="1400">
                  <a:effectLst/>
                </a:endParaRPr>
              </a:p>
            </c:rich>
          </c:tx>
          <c:layout>
            <c:manualLayout>
              <c:xMode val="edge"/>
              <c:yMode val="edge"/>
              <c:x val="3.0911901081916614E-2"/>
              <c:y val="0.31473197058976932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29877888"/>
        <c:crosses val="autoZero"/>
        <c:crossBetween val="between"/>
        <c:dispUnits>
          <c:builtInUnit val="thousands"/>
        </c:dispUnits>
      </c:valAx>
    </c:plotArea>
    <c:legend>
      <c:legendPos val="r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</c:chart>
  <c:printSettings>
    <c:headerFooter/>
    <c:pageMargins b="1" l="0.75000000000000278" r="0.75000000000000278" t="1" header="0.5" footer="0.5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marker>
            <c:symbol val="none"/>
          </c:marker>
          <c:cat>
            <c:numRef>
              <c:f>ProdA!$C$32:$C$51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cat>
          <c:val>
            <c:numRef>
              <c:f>ProdA!$E$32:$E$51</c:f>
              <c:numCache>
                <c:formatCode>General</c:formatCode>
                <c:ptCount val="20"/>
                <c:pt idx="0">
                  <c:v>68.946406999999994</c:v>
                </c:pt>
                <c:pt idx="1">
                  <c:v>75.238700999999992</c:v>
                </c:pt>
                <c:pt idx="2">
                  <c:v>79.19155099999999</c:v>
                </c:pt>
                <c:pt idx="3">
                  <c:v>82.129874999999984</c:v>
                </c:pt>
                <c:pt idx="4">
                  <c:v>84.424784999999986</c:v>
                </c:pt>
                <c:pt idx="5">
                  <c:v>86.033347999999989</c:v>
                </c:pt>
                <c:pt idx="6">
                  <c:v>87.563287999999986</c:v>
                </c:pt>
                <c:pt idx="7">
                  <c:v>89.093227999999982</c:v>
                </c:pt>
                <c:pt idx="8">
                  <c:v>90.623167999999978</c:v>
                </c:pt>
                <c:pt idx="9">
                  <c:v>92.153107999999975</c:v>
                </c:pt>
                <c:pt idx="10">
                  <c:v>93.115094999999968</c:v>
                </c:pt>
                <c:pt idx="11">
                  <c:v>93.880064999999973</c:v>
                </c:pt>
                <c:pt idx="12">
                  <c:v>94.645034999999979</c:v>
                </c:pt>
                <c:pt idx="13">
                  <c:v>95.410004999999984</c:v>
                </c:pt>
                <c:pt idx="14">
                  <c:v>96.174974999999989</c:v>
                </c:pt>
                <c:pt idx="15">
                  <c:v>96.939944999999994</c:v>
                </c:pt>
                <c:pt idx="16">
                  <c:v>97.704915</c:v>
                </c:pt>
                <c:pt idx="17">
                  <c:v>98.469885000000005</c:v>
                </c:pt>
                <c:pt idx="18">
                  <c:v>99.23485500000001</c:v>
                </c:pt>
                <c:pt idx="19">
                  <c:v>99.999825000000016</c:v>
                </c:pt>
              </c:numCache>
            </c:numRef>
          </c:val>
        </c:ser>
        <c:marker val="1"/>
        <c:axId val="134560768"/>
        <c:axId val="129873024"/>
      </c:lineChart>
      <c:catAx>
        <c:axId val="1345607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Keys (%)</a:t>
                </a:r>
              </a:p>
            </c:rich>
          </c:tx>
        </c:title>
        <c:numFmt formatCode="General" sourceLinked="1"/>
        <c:tickLblPos val="nextTo"/>
        <c:crossAx val="129873024"/>
        <c:crosses val="autoZero"/>
        <c:auto val="1"/>
        <c:lblAlgn val="ctr"/>
        <c:lblOffset val="100"/>
      </c:catAx>
      <c:valAx>
        <c:axId val="129873024"/>
        <c:scaling>
          <c:orientation val="minMax"/>
          <c:max val="10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Cumulative</a:t>
                </a:r>
                <a:r>
                  <a:rPr lang="en-US" sz="1000" b="1" i="0" u="none" strike="noStrike" baseline="0"/>
                  <a:t>  </a:t>
                </a:r>
                <a:r>
                  <a:rPr lang="en-US" sz="1400" b="1" i="0" u="none" strike="noStrike" baseline="0"/>
                  <a:t>Frequency  (%)</a:t>
                </a:r>
                <a:endParaRPr lang="en-US" sz="1400"/>
              </a:p>
            </c:rich>
          </c:tx>
        </c:title>
        <c:numFmt formatCode="General" sourceLinked="0"/>
        <c:tickLblPos val="nextTo"/>
        <c:crossAx val="134560768"/>
        <c:crosses val="autoZero"/>
        <c:crossBetween val="between"/>
      </c:valAx>
    </c:plotArea>
    <c:plotVisOnly val="1"/>
    <c:dispBlanksAs val="gap"/>
  </c:chart>
  <c:printSettings>
    <c:headerFooter/>
    <c:pageMargins b="0.75000000000000278" l="0.70000000000000162" r="0.70000000000000162" t="0.75000000000000278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12633516828095587"/>
                  <c:y val="-2.3176367659925028E-2"/>
                </c:manualLayout>
              </c:layout>
              <c:numFmt formatCode="General" sourceLinked="0"/>
            </c:trendlineLbl>
          </c:trendline>
          <c:cat>
            <c:numRef>
              <c:f>ProdA!$C$32:$C$50</c:f>
              <c:numCache>
                <c:formatCode>General</c:formatCode>
                <c:ptCount val="1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</c:numCache>
            </c:numRef>
          </c:cat>
          <c:val>
            <c:numRef>
              <c:f>ProdA!$G$32:$G$50</c:f>
              <c:numCache>
                <c:formatCode>General</c:formatCode>
                <c:ptCount val="19"/>
                <c:pt idx="0">
                  <c:v>-0.5078881433200193</c:v>
                </c:pt>
                <c:pt idx="1">
                  <c:v>-0.60622657557543069</c:v>
                </c:pt>
                <c:pt idx="2">
                  <c:v>-0.68176028960310309</c:v>
                </c:pt>
                <c:pt idx="3">
                  <c:v>-0.74787240963087631</c:v>
                </c:pt>
                <c:pt idx="4">
                  <c:v>-0.80756594963385553</c:v>
                </c:pt>
                <c:pt idx="5">
                  <c:v>-0.85490768781463733</c:v>
                </c:pt>
                <c:pt idx="6">
                  <c:v>-0.90529442261954862</c:v>
                </c:pt>
                <c:pt idx="7">
                  <c:v>-0.96230376545406848</c:v>
                </c:pt>
                <c:pt idx="8">
                  <c:v>-1.0279438649588704</c:v>
                </c:pt>
                <c:pt idx="9">
                  <c:v>-1.1053023247231022</c:v>
                </c:pt>
                <c:pt idx="10">
                  <c:v>-1.1621020478922299</c:v>
                </c:pt>
                <c:pt idx="11">
                  <c:v>-1.2132531904837232</c:v>
                </c:pt>
                <c:pt idx="12">
                  <c:v>-1.2712433633674256</c:v>
                </c:pt>
                <c:pt idx="13">
                  <c:v>-1.338187787550666</c:v>
                </c:pt>
                <c:pt idx="14">
                  <c:v>-1.4173657219936124</c:v>
                </c:pt>
                <c:pt idx="15">
                  <c:v>-1.5142707676419997</c:v>
                </c:pt>
                <c:pt idx="16">
                  <c:v>-1.639201225443772</c:v>
                </c:pt>
                <c:pt idx="17">
                  <c:v>-1.815275927359828</c:v>
                </c:pt>
                <c:pt idx="18">
                  <c:v>-2.1162562553919715</c:v>
                </c:pt>
              </c:numCache>
            </c:numRef>
          </c:val>
        </c:ser>
        <c:marker val="1"/>
        <c:axId val="134579328"/>
        <c:axId val="134581248"/>
      </c:lineChart>
      <c:catAx>
        <c:axId val="1345793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Keys (%)</a:t>
                </a:r>
              </a:p>
            </c:rich>
          </c:tx>
        </c:title>
        <c:numFmt formatCode="General" sourceLinked="1"/>
        <c:tickLblPos val="nextTo"/>
        <c:crossAx val="134581248"/>
        <c:crosses val="autoZero"/>
        <c:auto val="1"/>
        <c:lblAlgn val="ctr"/>
        <c:lblOffset val="100"/>
      </c:catAx>
      <c:valAx>
        <c:axId val="13458124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b="1" i="0" u="none" strike="noStrike" baseline="0"/>
                  <a:t>CDF Log</a:t>
                </a:r>
                <a:endParaRPr lang="en-US" sz="1400"/>
              </a:p>
            </c:rich>
          </c:tx>
        </c:title>
        <c:numFmt formatCode="General" sourceLinked="0"/>
        <c:tickLblPos val="nextTo"/>
        <c:crossAx val="134579328"/>
        <c:crosses val="autoZero"/>
        <c:crossBetween val="between"/>
      </c:valAx>
    </c:plotArea>
    <c:plotVisOnly val="1"/>
    <c:dispBlanksAs val="gap"/>
  </c:chart>
  <c:printSettings>
    <c:headerFooter/>
    <c:pageMargins b="0.75000000000000278" l="0.70000000000000162" r="0.70000000000000162" t="0.75000000000000278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cat>
            <c:numRef>
              <c:f>ProdB!$C$32:$C$51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cat>
          <c:val>
            <c:numRef>
              <c:f>ProdB!$E$32:$E$51</c:f>
              <c:numCache>
                <c:formatCode>General</c:formatCode>
                <c:ptCount val="20"/>
                <c:pt idx="0">
                  <c:v>51.409249000000003</c:v>
                </c:pt>
                <c:pt idx="1">
                  <c:v>61.324359000000001</c:v>
                </c:pt>
                <c:pt idx="2">
                  <c:v>67.956809000000007</c:v>
                </c:pt>
                <c:pt idx="3">
                  <c:v>72.790396000000001</c:v>
                </c:pt>
                <c:pt idx="4">
                  <c:v>76.756336000000005</c:v>
                </c:pt>
                <c:pt idx="5">
                  <c:v>79.859994999999998</c:v>
                </c:pt>
                <c:pt idx="6">
                  <c:v>82.712743000000003</c:v>
                </c:pt>
                <c:pt idx="7">
                  <c:v>84.781849000000008</c:v>
                </c:pt>
                <c:pt idx="8">
                  <c:v>86.850955000000013</c:v>
                </c:pt>
                <c:pt idx="9">
                  <c:v>88.920061000000018</c:v>
                </c:pt>
                <c:pt idx="10">
                  <c:v>90.689004000000011</c:v>
                </c:pt>
                <c:pt idx="11">
                  <c:v>91.723557000000014</c:v>
                </c:pt>
                <c:pt idx="12">
                  <c:v>92.758110000000016</c:v>
                </c:pt>
                <c:pt idx="13">
                  <c:v>93.792663000000019</c:v>
                </c:pt>
                <c:pt idx="14">
                  <c:v>94.827216000000021</c:v>
                </c:pt>
                <c:pt idx="15">
                  <c:v>95.861769000000024</c:v>
                </c:pt>
                <c:pt idx="16">
                  <c:v>96.896322000000026</c:v>
                </c:pt>
                <c:pt idx="17">
                  <c:v>97.930875000000029</c:v>
                </c:pt>
                <c:pt idx="18">
                  <c:v>98.965428000000031</c:v>
                </c:pt>
                <c:pt idx="19">
                  <c:v>99.999981000000034</c:v>
                </c:pt>
              </c:numCache>
            </c:numRef>
          </c:val>
        </c:ser>
        <c:marker val="1"/>
        <c:axId val="134695552"/>
        <c:axId val="134730496"/>
      </c:lineChart>
      <c:catAx>
        <c:axId val="1346955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Keys (%)</a:t>
                </a:r>
              </a:p>
            </c:rich>
          </c:tx>
        </c:title>
        <c:numFmt formatCode="General" sourceLinked="1"/>
        <c:tickLblPos val="nextTo"/>
        <c:crossAx val="134730496"/>
        <c:crosses val="autoZero"/>
        <c:auto val="1"/>
        <c:lblAlgn val="ctr"/>
        <c:lblOffset val="100"/>
      </c:catAx>
      <c:valAx>
        <c:axId val="134730496"/>
        <c:scaling>
          <c:orientation val="minMax"/>
          <c:max val="100"/>
        </c:scaling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kern="1200" baseline="0">
                    <a:solidFill>
                      <a:srgbClr val="000000"/>
                    </a:solidFill>
                  </a:rPr>
                  <a:t>Cumulative</a:t>
                </a:r>
                <a:r>
                  <a:rPr lang="en-US" sz="1000" b="1" i="0" kern="1200" baseline="0">
                    <a:solidFill>
                      <a:srgbClr val="000000"/>
                    </a:solidFill>
                  </a:rPr>
                  <a:t>  </a:t>
                </a:r>
                <a:r>
                  <a:rPr lang="en-US" sz="1400" b="1" i="0" kern="1200" baseline="0">
                    <a:solidFill>
                      <a:srgbClr val="000000"/>
                    </a:solidFill>
                  </a:rPr>
                  <a:t>Frequency  (%)</a:t>
                </a:r>
              </a:p>
            </c:rich>
          </c:tx>
        </c:title>
        <c:numFmt formatCode="General" sourceLinked="0"/>
        <c:tickLblPos val="nextTo"/>
        <c:crossAx val="134695552"/>
        <c:crosses val="autoZero"/>
        <c:crossBetween val="between"/>
      </c:valAx>
    </c:plotArea>
    <c:plotVisOnly val="1"/>
    <c:dispBlanksAs val="gap"/>
  </c:chart>
  <c:printSettings>
    <c:headerFooter/>
    <c:pageMargins b="0.75000000000000278" l="0.70000000000000162" r="0.70000000000000162" t="0.75000000000000278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0.121357002249719"/>
                  <c:y val="-1.22268539961917E-2"/>
                </c:manualLayout>
              </c:layout>
              <c:numFmt formatCode="General" sourceLinked="0"/>
            </c:trendlineLbl>
          </c:trendline>
          <c:cat>
            <c:numRef>
              <c:f>ProdB!$C$32:$C$50</c:f>
              <c:numCache>
                <c:formatCode>General</c:formatCode>
                <c:ptCount val="1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</c:numCache>
            </c:numRef>
          </c:cat>
          <c:val>
            <c:numRef>
              <c:f>ProdB!$G$32:$G$50</c:f>
              <c:numCache>
                <c:formatCode>General</c:formatCode>
                <c:ptCount val="19"/>
                <c:pt idx="0">
                  <c:v>-0.31344638859627694</c:v>
                </c:pt>
                <c:pt idx="1">
                  <c:v>-0.412562479685325</c:v>
                </c:pt>
                <c:pt idx="2">
                  <c:v>-0.49426424150522213</c:v>
                </c:pt>
                <c:pt idx="3">
                  <c:v>-0.56527777875924645</c:v>
                </c:pt>
                <c:pt idx="4">
                  <c:v>-0.6336954111544747</c:v>
                </c:pt>
                <c:pt idx="5">
                  <c:v>-0.69594042596352579</c:v>
                </c:pt>
                <c:pt idx="6">
                  <c:v>-0.76227391154211643</c:v>
                </c:pt>
                <c:pt idx="7">
                  <c:v>-0.81763811098711581</c:v>
                </c:pt>
                <c:pt idx="8">
                  <c:v>-0.88110578833706088</c:v>
                </c:pt>
                <c:pt idx="9">
                  <c:v>-0.95546263058559699</c:v>
                </c:pt>
                <c:pt idx="10">
                  <c:v>-1.0310038599243763</c:v>
                </c:pt>
                <c:pt idx="11">
                  <c:v>-1.0821562715942146</c:v>
                </c:pt>
                <c:pt idx="12">
                  <c:v>-1.1401480761436733</c:v>
                </c:pt>
                <c:pt idx="13">
                  <c:v>-1.2070946758700549</c:v>
                </c:pt>
                <c:pt idx="14">
                  <c:v>-1.2862756560518951</c:v>
                </c:pt>
                <c:pt idx="15">
                  <c:v>-1.3831852702615786</c:v>
                </c:pt>
                <c:pt idx="16">
                  <c:v>-1.508123342206739</c:v>
                </c:pt>
                <c:pt idx="17">
                  <c:v>-1.6842132719391929</c:v>
                </c:pt>
                <c:pt idx="18">
                  <c:v>-1.9852392796579053</c:v>
                </c:pt>
              </c:numCache>
            </c:numRef>
          </c:val>
        </c:ser>
        <c:marker val="1"/>
        <c:axId val="134636288"/>
        <c:axId val="134638208"/>
      </c:lineChart>
      <c:catAx>
        <c:axId val="1346362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Keys (%)</a:t>
                </a:r>
              </a:p>
            </c:rich>
          </c:tx>
        </c:title>
        <c:numFmt formatCode="General" sourceLinked="1"/>
        <c:tickLblPos val="nextTo"/>
        <c:crossAx val="134638208"/>
        <c:crosses val="autoZero"/>
        <c:auto val="1"/>
        <c:lblAlgn val="ctr"/>
        <c:lblOffset val="100"/>
      </c:catAx>
      <c:valAx>
        <c:axId val="13463820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b="1" i="0" u="none" strike="noStrike" baseline="0"/>
                  <a:t>CDF Log</a:t>
                </a:r>
                <a:endParaRPr lang="en-US" sz="1400"/>
              </a:p>
            </c:rich>
          </c:tx>
        </c:title>
        <c:numFmt formatCode="General" sourceLinked="0"/>
        <c:tickLblPos val="nextTo"/>
        <c:crossAx val="134636288"/>
        <c:crosses val="autoZero"/>
        <c:crossBetween val="between"/>
      </c:valAx>
    </c:plotArea>
    <c:plotVisOnly val="1"/>
    <c:dispBlanksAs val="gap"/>
  </c:chart>
  <c:printSettings>
    <c:headerFooter/>
    <c:pageMargins b="0.75000000000000278" l="0.70000000000000162" r="0.70000000000000162" t="0.75000000000000278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Dataset 2</a:t>
            </a:r>
          </a:p>
        </c:rich>
      </c:tx>
      <c:overlay val="1"/>
    </c:title>
    <c:plotArea>
      <c:layout/>
      <c:barChart>
        <c:barDir val="col"/>
        <c:grouping val="clustered"/>
        <c:ser>
          <c:idx val="3"/>
          <c:order val="0"/>
          <c:tx>
            <c:strRef>
              <c:f>ProdB!$C$23</c:f>
              <c:strCache>
                <c:ptCount val="1"/>
                <c:pt idx="0">
                  <c:v>rocksDB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</c:spPr>
          <c:val>
            <c:numRef>
              <c:f>ProdB!$D$23:$H$23</c:f>
              <c:numCache>
                <c:formatCode>General</c:formatCode>
                <c:ptCount val="5"/>
                <c:pt idx="0">
                  <c:v>49757</c:v>
                </c:pt>
                <c:pt idx="1">
                  <c:v>57258</c:v>
                </c:pt>
                <c:pt idx="2">
                  <c:v>99774</c:v>
                </c:pt>
                <c:pt idx="3">
                  <c:v>196601</c:v>
                </c:pt>
                <c:pt idx="4">
                  <c:v>271941</c:v>
                </c:pt>
              </c:numCache>
            </c:numRef>
          </c:val>
        </c:ser>
        <c:ser>
          <c:idx val="0"/>
          <c:order val="1"/>
          <c:tx>
            <c:strRef>
              <c:f>ProdB!$C$20</c:f>
              <c:strCache>
                <c:ptCount val="1"/>
                <c:pt idx="0">
                  <c:v>LevelDB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cat>
            <c:numRef>
              <c:f>ProdB!$D$19:$H$19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ProdB!$D$20:$H$20</c:f>
              <c:numCache>
                <c:formatCode>General</c:formatCode>
                <c:ptCount val="5"/>
                <c:pt idx="0">
                  <c:v>148943</c:v>
                </c:pt>
                <c:pt idx="1">
                  <c:v>176513</c:v>
                </c:pt>
                <c:pt idx="2">
                  <c:v>290460</c:v>
                </c:pt>
                <c:pt idx="3">
                  <c:v>436914</c:v>
                </c:pt>
                <c:pt idx="4">
                  <c:v>394516</c:v>
                </c:pt>
              </c:numCache>
            </c:numRef>
          </c:val>
        </c:ser>
        <c:ser>
          <c:idx val="2"/>
          <c:order val="2"/>
          <c:tx>
            <c:strRef>
              <c:f>ProdB!$C$22</c:f>
              <c:strCache>
                <c:ptCount val="1"/>
                <c:pt idx="0">
                  <c:v>HyperLevelDB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tx1"/>
              </a:solidFill>
            </a:ln>
          </c:spPr>
          <c:cat>
            <c:numRef>
              <c:f>ProdB!$D$19:$H$19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ProdB!$D$22:$H$22</c:f>
              <c:numCache>
                <c:formatCode>General</c:formatCode>
                <c:ptCount val="5"/>
                <c:pt idx="0">
                  <c:v>155371</c:v>
                </c:pt>
                <c:pt idx="1">
                  <c:v>184039</c:v>
                </c:pt>
                <c:pt idx="2">
                  <c:v>314523</c:v>
                </c:pt>
                <c:pt idx="3">
                  <c:v>502706</c:v>
                </c:pt>
                <c:pt idx="4">
                  <c:v>568008</c:v>
                </c:pt>
              </c:numCache>
            </c:numRef>
          </c:val>
        </c:ser>
        <c:ser>
          <c:idx val="1"/>
          <c:order val="3"/>
          <c:tx>
            <c:strRef>
              <c:f>ProdB!$C$21</c:f>
              <c:strCache>
                <c:ptCount val="1"/>
                <c:pt idx="0">
                  <c:v>cLSM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cat>
            <c:numRef>
              <c:f>ProdB!$D$19:$H$19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ProdB!$D$21:$H$21</c:f>
              <c:numCache>
                <c:formatCode>General</c:formatCode>
                <c:ptCount val="5"/>
                <c:pt idx="0">
                  <c:v>137720</c:v>
                </c:pt>
                <c:pt idx="1">
                  <c:v>165541</c:v>
                </c:pt>
                <c:pt idx="2">
                  <c:v>295644</c:v>
                </c:pt>
                <c:pt idx="3">
                  <c:v>527357</c:v>
                </c:pt>
                <c:pt idx="4">
                  <c:v>728140</c:v>
                </c:pt>
              </c:numCache>
            </c:numRef>
          </c:val>
        </c:ser>
        <c:axId val="138618368"/>
        <c:axId val="138620288"/>
      </c:barChart>
      <c:catAx>
        <c:axId val="1386183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Worker Threads</a:t>
                </a:r>
              </a:p>
            </c:rich>
          </c:tx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38620288"/>
        <c:crosses val="autoZero"/>
        <c:auto val="1"/>
        <c:lblAlgn val="ctr"/>
        <c:lblOffset val="100"/>
      </c:catAx>
      <c:valAx>
        <c:axId val="138620288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fr-FR" sz="1400" b="1" i="0" baseline="0">
                    <a:effectLst/>
                  </a:rPr>
                  <a:t>ops/sec x 10</a:t>
                </a:r>
                <a:r>
                  <a:rPr lang="fr-FR" sz="1400" b="1" i="0" baseline="30000">
                    <a:effectLst/>
                  </a:rPr>
                  <a:t>3</a:t>
                </a:r>
                <a:endParaRPr lang="fr-FR" sz="1400">
                  <a:effectLst/>
                </a:endParaRPr>
              </a:p>
            </c:rich>
          </c:tx>
          <c:layout>
            <c:manualLayout>
              <c:xMode val="edge"/>
              <c:yMode val="edge"/>
              <c:x val="3.0911901081916614E-2"/>
              <c:y val="0.31473197058976932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38618368"/>
        <c:crosses val="autoZero"/>
        <c:crossBetween val="between"/>
        <c:dispUnits>
          <c:builtInUnit val="thousands"/>
        </c:dispUnits>
      </c:valAx>
    </c:plotArea>
    <c:legend>
      <c:legendPos val="r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</c:chart>
  <c:printSettings>
    <c:headerFooter/>
    <c:pageMargins b="1" l="0.75000000000000278" r="0.75000000000000278" t="1" header="0.5" footer="0.5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cat>
            <c:numRef>
              <c:f>ProdD!$C$32:$C$51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cat>
          <c:val>
            <c:numRef>
              <c:f>ProdD!$E$32:$E$51</c:f>
              <c:numCache>
                <c:formatCode>General</c:formatCode>
                <c:ptCount val="20"/>
                <c:pt idx="0">
                  <c:v>84.517759999999996</c:v>
                </c:pt>
                <c:pt idx="1">
                  <c:v>88.067890999999989</c:v>
                </c:pt>
                <c:pt idx="2">
                  <c:v>90.24866999999999</c:v>
                </c:pt>
                <c:pt idx="3">
                  <c:v>91.759833999999984</c:v>
                </c:pt>
                <c:pt idx="4">
                  <c:v>92.80729599999998</c:v>
                </c:pt>
                <c:pt idx="5">
                  <c:v>93.681019999999975</c:v>
                </c:pt>
                <c:pt idx="6">
                  <c:v>94.320606999999981</c:v>
                </c:pt>
                <c:pt idx="7">
                  <c:v>94.757468999999986</c:v>
                </c:pt>
                <c:pt idx="8">
                  <c:v>95.194330999999991</c:v>
                </c:pt>
                <c:pt idx="9">
                  <c:v>95.631192999999996</c:v>
                </c:pt>
                <c:pt idx="10">
                  <c:v>96.068055000000001</c:v>
                </c:pt>
                <c:pt idx="11">
                  <c:v>96.504917000000006</c:v>
                </c:pt>
                <c:pt idx="12">
                  <c:v>96.941779000000011</c:v>
                </c:pt>
                <c:pt idx="13">
                  <c:v>97.378641000000016</c:v>
                </c:pt>
                <c:pt idx="14">
                  <c:v>97.815503000000021</c:v>
                </c:pt>
                <c:pt idx="15">
                  <c:v>98.252365000000026</c:v>
                </c:pt>
                <c:pt idx="16">
                  <c:v>98.689227000000031</c:v>
                </c:pt>
                <c:pt idx="17">
                  <c:v>99.126089000000036</c:v>
                </c:pt>
                <c:pt idx="18">
                  <c:v>99.562951000000041</c:v>
                </c:pt>
                <c:pt idx="19">
                  <c:v>99.999813000000046</c:v>
                </c:pt>
              </c:numCache>
            </c:numRef>
          </c:val>
        </c:ser>
        <c:marker val="1"/>
        <c:axId val="138492928"/>
        <c:axId val="138507392"/>
      </c:lineChart>
      <c:catAx>
        <c:axId val="1384929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Keys (%)</a:t>
                </a:r>
              </a:p>
            </c:rich>
          </c:tx>
        </c:title>
        <c:numFmt formatCode="General" sourceLinked="1"/>
        <c:tickLblPos val="nextTo"/>
        <c:crossAx val="138507392"/>
        <c:crosses val="autoZero"/>
        <c:auto val="1"/>
        <c:lblAlgn val="ctr"/>
        <c:lblOffset val="100"/>
      </c:catAx>
      <c:valAx>
        <c:axId val="138507392"/>
        <c:scaling>
          <c:orientation val="minMax"/>
          <c:max val="10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b="1" i="0" baseline="0"/>
                  <a:t>Cumulative  Frequency  (%)</a:t>
                </a:r>
              </a:p>
            </c:rich>
          </c:tx>
        </c:title>
        <c:numFmt formatCode="General" sourceLinked="0"/>
        <c:tickLblPos val="nextTo"/>
        <c:crossAx val="138492928"/>
        <c:crosses val="autoZero"/>
        <c:crossBetween val="between"/>
      </c:valAx>
    </c:plotArea>
    <c:plotVisOnly val="1"/>
    <c:dispBlanksAs val="gap"/>
  </c:chart>
  <c:printSettings>
    <c:headerFooter/>
    <c:pageMargins b="0.75000000000000278" l="0.70000000000000162" r="0.70000000000000162" t="0.75000000000000278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5.3499859392575795E-2"/>
                  <c:y val="7.8156897054543152E-4"/>
                </c:manualLayout>
              </c:layout>
              <c:numFmt formatCode="General" sourceLinked="0"/>
            </c:trendlineLbl>
          </c:trendline>
          <c:cat>
            <c:numRef>
              <c:f>ProdD!$C$32:$C$50</c:f>
              <c:numCache>
                <c:formatCode>General</c:formatCode>
                <c:ptCount val="1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</c:numCache>
            </c:numRef>
          </c:cat>
          <c:val>
            <c:numRef>
              <c:f>ProdD!$G$32:$G$50</c:f>
              <c:numCache>
                <c:formatCode>General</c:formatCode>
                <c:ptCount val="19"/>
                <c:pt idx="0">
                  <c:v>-0.81016620455355448</c:v>
                </c:pt>
                <c:pt idx="1">
                  <c:v>-0.92328278800505403</c:v>
                </c:pt>
                <c:pt idx="2">
                  <c:v>-1.0109361461200845</c:v>
                </c:pt>
                <c:pt idx="3">
                  <c:v>-1.0840640392546035</c:v>
                </c:pt>
                <c:pt idx="4">
                  <c:v>-1.1431078117709115</c:v>
                </c:pt>
                <c:pt idx="5">
                  <c:v>-1.1993530192053063</c:v>
                </c:pt>
                <c:pt idx="6">
                  <c:v>-1.2456980781687996</c:v>
                </c:pt>
                <c:pt idx="7">
                  <c:v>-1.2804589927960204</c:v>
                </c:pt>
                <c:pt idx="8">
                  <c:v>-1.318246145397282</c:v>
                </c:pt>
                <c:pt idx="9">
                  <c:v>-1.3596371406157695</c:v>
                </c:pt>
                <c:pt idx="10">
                  <c:v>-1.4053925657034734</c:v>
                </c:pt>
                <c:pt idx="11">
                  <c:v>-1.4565425063234543</c:v>
                </c:pt>
                <c:pt idx="12">
                  <c:v>-1.5145311338313223</c:v>
                </c:pt>
                <c:pt idx="13">
                  <c:v>-1.5814734975416458</c:v>
                </c:pt>
                <c:pt idx="14">
                  <c:v>-1.6606485473766381</c:v>
                </c:pt>
                <c:pt idx="15">
                  <c:v>-1.7575492662314989</c:v>
                </c:pt>
                <c:pt idx="16">
                  <c:v>-1.8824725130264595</c:v>
                </c:pt>
                <c:pt idx="17">
                  <c:v>-2.0585327941127711</c:v>
                </c:pt>
                <c:pt idx="18">
                  <c:v>-2.359469869124279</c:v>
                </c:pt>
              </c:numCache>
            </c:numRef>
          </c:val>
        </c:ser>
        <c:marker val="1"/>
        <c:axId val="138675328"/>
        <c:axId val="138677248"/>
      </c:lineChart>
      <c:catAx>
        <c:axId val="1386753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Keys (%)</a:t>
                </a:r>
              </a:p>
            </c:rich>
          </c:tx>
        </c:title>
        <c:numFmt formatCode="General" sourceLinked="1"/>
        <c:tickLblPos val="nextTo"/>
        <c:crossAx val="138677248"/>
        <c:crosses val="autoZero"/>
        <c:auto val="1"/>
        <c:lblAlgn val="ctr"/>
        <c:lblOffset val="100"/>
      </c:catAx>
      <c:valAx>
        <c:axId val="13867724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b="1" i="0" u="none" strike="noStrike" baseline="0"/>
                  <a:t>CDF Log</a:t>
                </a:r>
                <a:endParaRPr lang="en-US" sz="1400"/>
              </a:p>
            </c:rich>
          </c:tx>
        </c:title>
        <c:numFmt formatCode="General" sourceLinked="0"/>
        <c:tickLblPos val="nextTo"/>
        <c:crossAx val="138675328"/>
        <c:crosses val="autoZero"/>
        <c:crossBetween val="between"/>
      </c:valAx>
    </c:plotArea>
    <c:plotVisOnly val="1"/>
    <c:dispBlanksAs val="gap"/>
  </c:chart>
  <c:printSettings>
    <c:headerFooter/>
    <c:pageMargins b="0.75000000000000278" l="0.70000000000000162" r="0.70000000000000162" t="0.75000000000000278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Dataset 3</a:t>
            </a:r>
          </a:p>
        </c:rich>
      </c:tx>
      <c:overlay val="1"/>
    </c:title>
    <c:plotArea>
      <c:layout/>
      <c:barChart>
        <c:barDir val="col"/>
        <c:grouping val="clustered"/>
        <c:ser>
          <c:idx val="3"/>
          <c:order val="0"/>
          <c:tx>
            <c:strRef>
              <c:f>ProdD!$C$23</c:f>
              <c:strCache>
                <c:ptCount val="1"/>
                <c:pt idx="0">
                  <c:v>rocksDB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</c:spPr>
          <c:val>
            <c:numRef>
              <c:f>ProdD!$D$23:$H$23</c:f>
              <c:numCache>
                <c:formatCode>General</c:formatCode>
                <c:ptCount val="5"/>
                <c:pt idx="0">
                  <c:v>118397</c:v>
                </c:pt>
                <c:pt idx="1">
                  <c:v>106077</c:v>
                </c:pt>
                <c:pt idx="2">
                  <c:v>144777</c:v>
                </c:pt>
                <c:pt idx="3">
                  <c:v>265815</c:v>
                </c:pt>
                <c:pt idx="4">
                  <c:v>347989</c:v>
                </c:pt>
              </c:numCache>
            </c:numRef>
          </c:val>
        </c:ser>
        <c:ser>
          <c:idx val="0"/>
          <c:order val="1"/>
          <c:tx>
            <c:strRef>
              <c:f>ProdD!$C$20</c:f>
              <c:strCache>
                <c:ptCount val="1"/>
                <c:pt idx="0">
                  <c:v>LevelDB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cat>
            <c:numRef>
              <c:f>ProdD!$D$19:$H$19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ProdD!$D$20:$H$20</c:f>
              <c:numCache>
                <c:formatCode>General</c:formatCode>
                <c:ptCount val="5"/>
                <c:pt idx="0">
                  <c:v>307960</c:v>
                </c:pt>
                <c:pt idx="1">
                  <c:v>311391</c:v>
                </c:pt>
                <c:pt idx="2">
                  <c:v>479355</c:v>
                </c:pt>
                <c:pt idx="3">
                  <c:v>608947</c:v>
                </c:pt>
                <c:pt idx="4">
                  <c:v>539221</c:v>
                </c:pt>
              </c:numCache>
            </c:numRef>
          </c:val>
        </c:ser>
        <c:ser>
          <c:idx val="2"/>
          <c:order val="2"/>
          <c:tx>
            <c:strRef>
              <c:f>ProdD!$C$22</c:f>
              <c:strCache>
                <c:ptCount val="1"/>
                <c:pt idx="0">
                  <c:v>HyperLevelDB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tx1"/>
              </a:solidFill>
            </a:ln>
          </c:spPr>
          <c:cat>
            <c:numRef>
              <c:f>ProdD!$D$19:$H$19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ProdD!$D$22:$H$22</c:f>
              <c:numCache>
                <c:formatCode>General</c:formatCode>
                <c:ptCount val="5"/>
                <c:pt idx="0">
                  <c:v>513636</c:v>
                </c:pt>
                <c:pt idx="1">
                  <c:v>363207</c:v>
                </c:pt>
                <c:pt idx="2">
                  <c:v>322803</c:v>
                </c:pt>
                <c:pt idx="3">
                  <c:v>500608</c:v>
                </c:pt>
                <c:pt idx="4">
                  <c:v>654493</c:v>
                </c:pt>
              </c:numCache>
            </c:numRef>
          </c:val>
        </c:ser>
        <c:ser>
          <c:idx val="1"/>
          <c:order val="3"/>
          <c:tx>
            <c:strRef>
              <c:f>ProdD!$C$21</c:f>
              <c:strCache>
                <c:ptCount val="1"/>
                <c:pt idx="0">
                  <c:v>cLSM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cat>
            <c:numRef>
              <c:f>ProdD!$D$19:$H$19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ProdD!$D$21:$H$21</c:f>
              <c:numCache>
                <c:formatCode>General</c:formatCode>
                <c:ptCount val="5"/>
                <c:pt idx="0">
                  <c:v>265239</c:v>
                </c:pt>
                <c:pt idx="1">
                  <c:v>274628</c:v>
                </c:pt>
                <c:pt idx="2">
                  <c:v>460678</c:v>
                </c:pt>
                <c:pt idx="3">
                  <c:v>834460</c:v>
                </c:pt>
                <c:pt idx="4">
                  <c:v>1228400</c:v>
                </c:pt>
              </c:numCache>
            </c:numRef>
          </c:val>
        </c:ser>
        <c:axId val="138729344"/>
        <c:axId val="138739712"/>
      </c:barChart>
      <c:catAx>
        <c:axId val="1387293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Worker Threads</a:t>
                </a:r>
              </a:p>
            </c:rich>
          </c:tx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38739712"/>
        <c:crosses val="autoZero"/>
        <c:auto val="1"/>
        <c:lblAlgn val="ctr"/>
        <c:lblOffset val="100"/>
      </c:catAx>
      <c:valAx>
        <c:axId val="13873971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fr-FR" sz="1400" b="1" i="0" baseline="0">
                    <a:effectLst/>
                  </a:rPr>
                  <a:t>ops/sec x 10</a:t>
                </a:r>
                <a:r>
                  <a:rPr lang="fr-FR" sz="1400" b="1" i="0" baseline="30000">
                    <a:effectLst/>
                  </a:rPr>
                  <a:t>3</a:t>
                </a:r>
                <a:endParaRPr lang="fr-FR" sz="1400">
                  <a:effectLst/>
                </a:endParaRPr>
              </a:p>
            </c:rich>
          </c:tx>
          <c:layout>
            <c:manualLayout>
              <c:xMode val="edge"/>
              <c:yMode val="edge"/>
              <c:x val="3.0911901081916614E-2"/>
              <c:y val="0.31473197058976932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38729344"/>
        <c:crosses val="autoZero"/>
        <c:crossBetween val="between"/>
        <c:dispUnits>
          <c:builtInUnit val="thousands"/>
        </c:dispUnits>
      </c:valAx>
    </c:plotArea>
    <c:legend>
      <c:legendPos val="r"/>
      <c:layout>
        <c:manualLayout>
          <c:xMode val="edge"/>
          <c:yMode val="edge"/>
          <c:x val="0.75843331021025751"/>
          <c:y val="0.37625410648172275"/>
          <c:w val="0.24138811439653921"/>
          <c:h val="0.28382633285390502"/>
        </c:manualLayout>
      </c:layout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</c:chart>
  <c:printSettings>
    <c:headerFooter/>
    <c:pageMargins b="1" l="0.75000000000000278" r="0.75000000000000278" t="1" header="0.5" footer="0.5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Dataset 4</a:t>
            </a:r>
          </a:p>
        </c:rich>
      </c:tx>
      <c:overlay val="1"/>
    </c:title>
    <c:plotArea>
      <c:layout/>
      <c:barChart>
        <c:barDir val="col"/>
        <c:grouping val="clustered"/>
        <c:ser>
          <c:idx val="3"/>
          <c:order val="0"/>
          <c:tx>
            <c:strRef>
              <c:f>ProdE!$C$23</c:f>
              <c:strCache>
                <c:ptCount val="1"/>
                <c:pt idx="0">
                  <c:v>rocksDB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</c:spPr>
          <c:val>
            <c:numRef>
              <c:f>ProdE!$D$23:$H$23</c:f>
              <c:numCache>
                <c:formatCode>General</c:formatCode>
                <c:ptCount val="5"/>
                <c:pt idx="0">
                  <c:v>56786</c:v>
                </c:pt>
                <c:pt idx="1">
                  <c:v>69056</c:v>
                </c:pt>
                <c:pt idx="2">
                  <c:v>118396</c:v>
                </c:pt>
                <c:pt idx="3">
                  <c:v>223538</c:v>
                </c:pt>
                <c:pt idx="4">
                  <c:v>280675</c:v>
                </c:pt>
              </c:numCache>
            </c:numRef>
          </c:val>
        </c:ser>
        <c:ser>
          <c:idx val="0"/>
          <c:order val="1"/>
          <c:tx>
            <c:strRef>
              <c:f>ProdE!$C$20</c:f>
              <c:strCache>
                <c:ptCount val="1"/>
                <c:pt idx="0">
                  <c:v>LevelDB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cat>
            <c:numRef>
              <c:f>ProdE!$D$19:$H$19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ProdE!$D$20:$H$20</c:f>
              <c:numCache>
                <c:formatCode>General</c:formatCode>
                <c:ptCount val="5"/>
                <c:pt idx="0">
                  <c:v>170495</c:v>
                </c:pt>
                <c:pt idx="1">
                  <c:v>209281</c:v>
                </c:pt>
                <c:pt idx="2">
                  <c:v>342306</c:v>
                </c:pt>
                <c:pt idx="3">
                  <c:v>479258</c:v>
                </c:pt>
                <c:pt idx="4">
                  <c:v>395343</c:v>
                </c:pt>
              </c:numCache>
            </c:numRef>
          </c:val>
        </c:ser>
        <c:ser>
          <c:idx val="2"/>
          <c:order val="2"/>
          <c:tx>
            <c:strRef>
              <c:f>ProdE!$C$22</c:f>
              <c:strCache>
                <c:ptCount val="1"/>
                <c:pt idx="0">
                  <c:v>HyperLevelDB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tx1"/>
              </a:solidFill>
            </a:ln>
          </c:spPr>
          <c:cat>
            <c:numRef>
              <c:f>ProdE!$D$19:$H$19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ProdE!$D$22:$H$22</c:f>
              <c:numCache>
                <c:formatCode>General</c:formatCode>
                <c:ptCount val="5"/>
                <c:pt idx="0">
                  <c:v>177393</c:v>
                </c:pt>
                <c:pt idx="1">
                  <c:v>220103</c:v>
                </c:pt>
                <c:pt idx="2">
                  <c:v>372514</c:v>
                </c:pt>
                <c:pt idx="3">
                  <c:v>573378</c:v>
                </c:pt>
                <c:pt idx="4">
                  <c:v>570347</c:v>
                </c:pt>
              </c:numCache>
            </c:numRef>
          </c:val>
        </c:ser>
        <c:ser>
          <c:idx val="1"/>
          <c:order val="3"/>
          <c:tx>
            <c:strRef>
              <c:f>ProdE!$C$21</c:f>
              <c:strCache>
                <c:ptCount val="1"/>
                <c:pt idx="0">
                  <c:v>cLSM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cat>
            <c:numRef>
              <c:f>ProdE!$D$19:$H$19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ProdE!$D$21:$H$21</c:f>
              <c:numCache>
                <c:formatCode>General</c:formatCode>
                <c:ptCount val="5"/>
                <c:pt idx="0">
                  <c:v>156804</c:v>
                </c:pt>
                <c:pt idx="1">
                  <c:v>203737</c:v>
                </c:pt>
                <c:pt idx="2">
                  <c:v>351112</c:v>
                </c:pt>
                <c:pt idx="3">
                  <c:v>617103</c:v>
                </c:pt>
                <c:pt idx="4">
                  <c:v>832796</c:v>
                </c:pt>
              </c:numCache>
            </c:numRef>
          </c:val>
        </c:ser>
        <c:axId val="138783744"/>
        <c:axId val="138810496"/>
      </c:barChart>
      <c:catAx>
        <c:axId val="1387837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Worker Threads</a:t>
                </a:r>
              </a:p>
            </c:rich>
          </c:tx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38810496"/>
        <c:crosses val="autoZero"/>
        <c:auto val="1"/>
        <c:lblAlgn val="ctr"/>
        <c:lblOffset val="100"/>
      </c:catAx>
      <c:valAx>
        <c:axId val="138810496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fr-FR" sz="1400" b="1" i="0" baseline="0">
                    <a:effectLst/>
                  </a:rPr>
                  <a:t>ops/sec x 10</a:t>
                </a:r>
                <a:r>
                  <a:rPr lang="fr-FR" sz="1400" b="1" i="0" baseline="30000">
                    <a:effectLst/>
                  </a:rPr>
                  <a:t>3</a:t>
                </a:r>
                <a:endParaRPr lang="fr-FR" sz="1400">
                  <a:effectLst/>
                </a:endParaRPr>
              </a:p>
            </c:rich>
          </c:tx>
          <c:layout>
            <c:manualLayout>
              <c:xMode val="edge"/>
              <c:yMode val="edge"/>
              <c:x val="3.0911901081916614E-2"/>
              <c:y val="0.31473197058976932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38783744"/>
        <c:crosses val="autoZero"/>
        <c:crossBetween val="between"/>
        <c:dispUnits>
          <c:builtInUnit val="thousands"/>
        </c:dispUnits>
      </c:valAx>
    </c:plotArea>
    <c:legend>
      <c:legendPos val="r"/>
      <c:layout>
        <c:manualLayout>
          <c:xMode val="edge"/>
          <c:yMode val="edge"/>
          <c:x val="0.75843331021025751"/>
          <c:y val="0.37625410648172275"/>
          <c:w val="0.24138811439653921"/>
          <c:h val="0.28382633285390502"/>
        </c:manualLayout>
      </c:layout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</c:chart>
  <c:printSettings>
    <c:headerFooter/>
    <c:pageMargins b="1" l="0.75000000000000278" r="0.75000000000000278" t="1" header="0.5" footer="0.5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Throughput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Production4Partitions!$A$8</c:f>
              <c:strCache>
                <c:ptCount val="1"/>
                <c:pt idx="0">
                  <c:v>LevelDB x4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cat>
            <c:numRef>
              <c:f>Production4Partitions!$B$6:$G$6</c:f>
              <c:numCache>
                <c:formatCode>General</c:formatCode>
                <c:ptCount val="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</c:numCache>
            </c:numRef>
          </c:cat>
          <c:val>
            <c:numRef>
              <c:f>Production4Partitions!$B$8:$G$8</c:f>
              <c:numCache>
                <c:formatCode>General</c:formatCode>
                <c:ptCount val="6"/>
                <c:pt idx="0">
                  <c:v>390680</c:v>
                </c:pt>
                <c:pt idx="1">
                  <c:v>458821</c:v>
                </c:pt>
                <c:pt idx="2">
                  <c:v>768392</c:v>
                </c:pt>
                <c:pt idx="3">
                  <c:v>794459</c:v>
                </c:pt>
                <c:pt idx="4">
                  <c:v>601837</c:v>
                </c:pt>
                <c:pt idx="5">
                  <c:v>566178</c:v>
                </c:pt>
              </c:numCache>
            </c:numRef>
          </c:val>
        </c:ser>
        <c:ser>
          <c:idx val="1"/>
          <c:order val="1"/>
          <c:tx>
            <c:strRef>
              <c:f>Production4Partitions!$A$9</c:f>
              <c:strCache>
                <c:ptCount val="1"/>
                <c:pt idx="0">
                  <c:v>HyperLevelDB x4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tx1"/>
              </a:solidFill>
            </a:ln>
          </c:spPr>
          <c:cat>
            <c:numRef>
              <c:f>Production4Partitions!$B$6:$G$6</c:f>
              <c:numCache>
                <c:formatCode>General</c:formatCode>
                <c:ptCount val="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</c:numCache>
            </c:numRef>
          </c:cat>
          <c:val>
            <c:numRef>
              <c:f>Production4Partitions!$B$9:$F$9</c:f>
              <c:numCache>
                <c:formatCode>General</c:formatCode>
                <c:ptCount val="5"/>
                <c:pt idx="0">
                  <c:v>480948</c:v>
                </c:pt>
                <c:pt idx="1">
                  <c:v>490199</c:v>
                </c:pt>
                <c:pt idx="2">
                  <c:v>787642</c:v>
                </c:pt>
                <c:pt idx="3">
                  <c:v>101831</c:v>
                </c:pt>
                <c:pt idx="4">
                  <c:v>7469</c:v>
                </c:pt>
              </c:numCache>
            </c:numRef>
          </c:val>
        </c:ser>
        <c:ser>
          <c:idx val="2"/>
          <c:order val="2"/>
          <c:tx>
            <c:strRef>
              <c:f>Production4Partitions!$A$7</c:f>
              <c:strCache>
                <c:ptCount val="1"/>
                <c:pt idx="0">
                  <c:v>cLSM 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cat>
            <c:numRef>
              <c:f>Production4Partitions!$B$6:$G$6</c:f>
              <c:numCache>
                <c:formatCode>General</c:formatCode>
                <c:ptCount val="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</c:numCache>
            </c:numRef>
          </c:cat>
          <c:val>
            <c:numRef>
              <c:f>Production4Partitions!$B$7:$G$7</c:f>
              <c:numCache>
                <c:formatCode>General</c:formatCode>
                <c:ptCount val="6"/>
                <c:pt idx="0">
                  <c:v>435995</c:v>
                </c:pt>
                <c:pt idx="1">
                  <c:v>713015</c:v>
                </c:pt>
                <c:pt idx="2">
                  <c:v>848288</c:v>
                </c:pt>
                <c:pt idx="3">
                  <c:v>935143</c:v>
                </c:pt>
                <c:pt idx="4">
                  <c:v>1013964</c:v>
                </c:pt>
                <c:pt idx="5">
                  <c:v>1010575</c:v>
                </c:pt>
              </c:numCache>
            </c:numRef>
          </c:val>
        </c:ser>
        <c:ser>
          <c:idx val="3"/>
          <c:order val="3"/>
          <c:tx>
            <c:strRef>
              <c:f>Production4Partitions!$A$10</c:f>
              <c:strCache>
                <c:ptCount val="1"/>
                <c:pt idx="0">
                  <c:v>rocksDB x 4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</c:spPr>
          <c:val>
            <c:numRef>
              <c:f>Production4Partitions!$B$10:$G$10</c:f>
              <c:numCache>
                <c:formatCode>General</c:formatCode>
                <c:ptCount val="6"/>
                <c:pt idx="0">
                  <c:v>145109</c:v>
                </c:pt>
                <c:pt idx="1">
                  <c:v>182915</c:v>
                </c:pt>
                <c:pt idx="2">
                  <c:v>270117</c:v>
                </c:pt>
                <c:pt idx="3">
                  <c:v>248774</c:v>
                </c:pt>
                <c:pt idx="4">
                  <c:v>210698</c:v>
                </c:pt>
                <c:pt idx="5">
                  <c:v>208711</c:v>
                </c:pt>
              </c:numCache>
            </c:numRef>
          </c:val>
        </c:ser>
        <c:axId val="138965376"/>
        <c:axId val="138967296"/>
      </c:barChart>
      <c:catAx>
        <c:axId val="1389653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Total Worker Threads</a:t>
                </a:r>
              </a:p>
            </c:rich>
          </c:tx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38967296"/>
        <c:crosses val="autoZero"/>
        <c:auto val="1"/>
        <c:lblAlgn val="ctr"/>
        <c:lblOffset val="100"/>
      </c:catAx>
      <c:valAx>
        <c:axId val="138967296"/>
        <c:scaling>
          <c:orientation val="minMax"/>
        </c:scaling>
        <c:axPos val="l"/>
        <c:numFmt formatCode="General" sourceLinked="1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138965376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1.8181818181818257E-2"/>
                <c:y val="0.28747941873119476"/>
              </c:manualLayout>
            </c:layout>
            <c:tx>
              <c:rich>
                <a:bodyPr/>
                <a:lstStyle/>
                <a:p>
                  <a:pPr>
                    <a:defRPr/>
                  </a:pPr>
                  <a:r>
                    <a:rPr lang="fr-FR" sz="1400" b="1" i="0" baseline="0">
                      <a:effectLst/>
                    </a:rPr>
                    <a:t>ops/sec x 10</a:t>
                  </a:r>
                  <a:r>
                    <a:rPr lang="fr-FR" sz="1400" b="1" i="0" baseline="30000">
                      <a:effectLst/>
                    </a:rPr>
                    <a:t>3</a:t>
                  </a:r>
                  <a:endParaRPr lang="fr-FR" sz="1400">
                    <a:effectLst/>
                  </a:endParaRPr>
                </a:p>
              </c:rich>
            </c:tx>
          </c:dispUnitsLbl>
        </c:dispUnits>
      </c:valAx>
    </c:plotArea>
    <c:legend>
      <c:legendPos val="r"/>
      <c:layout>
        <c:manualLayout>
          <c:xMode val="edge"/>
          <c:yMode val="edge"/>
          <c:x val="0.76043884872752698"/>
          <c:y val="0.44123167530887902"/>
          <c:w val="0.23282933383327128"/>
          <c:h val="0.22063996513071238"/>
        </c:manualLayout>
      </c:layout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</c:chart>
  <c:printSettings>
    <c:headerFooter/>
    <c:pageMargins b="1" l="0.75000000000000189" r="0.75000000000000189" t="1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'100% write (back rmw)'!$C$28</c:f>
              <c:strCache>
                <c:ptCount val="1"/>
                <c:pt idx="0">
                  <c:v>LevelDB</c:v>
                </c:pt>
              </c:strCache>
            </c:strRef>
          </c:tx>
          <c:marker>
            <c:symbol val="none"/>
          </c:marker>
          <c:cat>
            <c:numRef>
              <c:f>'100% write (back rmw)'!$D$27:$H$27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'100% write (back rmw)'!$D$28:$H$28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23</c:v>
                </c:pt>
                <c:pt idx="3">
                  <c:v>53</c:v>
                </c:pt>
                <c:pt idx="4">
                  <c:v>109</c:v>
                </c:pt>
              </c:numCache>
            </c:numRef>
          </c:val>
        </c:ser>
        <c:ser>
          <c:idx val="1"/>
          <c:order val="1"/>
          <c:tx>
            <c:strRef>
              <c:f>'100% write (back rmw)'!$C$29</c:f>
              <c:strCache>
                <c:ptCount val="1"/>
                <c:pt idx="0">
                  <c:v>cLSM</c:v>
                </c:pt>
              </c:strCache>
            </c:strRef>
          </c:tx>
          <c:marker>
            <c:symbol val="none"/>
          </c:marker>
          <c:cat>
            <c:numRef>
              <c:f>'100% write (back rmw)'!$D$27:$H$27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'100% write (back rmw)'!$D$29:$H$29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7</c:v>
                </c:pt>
                <c:pt idx="3">
                  <c:v>12</c:v>
                </c:pt>
                <c:pt idx="4">
                  <c:v>20</c:v>
                </c:pt>
              </c:numCache>
            </c:numRef>
          </c:val>
        </c:ser>
        <c:ser>
          <c:idx val="2"/>
          <c:order val="2"/>
          <c:tx>
            <c:strRef>
              <c:f>'100% write (back rmw)'!$C$30</c:f>
              <c:strCache>
                <c:ptCount val="1"/>
                <c:pt idx="0">
                  <c:v>cLSM-LS</c:v>
                </c:pt>
              </c:strCache>
            </c:strRef>
          </c:tx>
          <c:marker>
            <c:symbol val="none"/>
          </c:marker>
          <c:cat>
            <c:numRef>
              <c:f>'100% write (back rmw)'!$D$27:$H$27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'100% write (back rmw)'!$D$30:$H$30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10</c:v>
                </c:pt>
                <c:pt idx="3">
                  <c:v>14</c:v>
                </c:pt>
                <c:pt idx="4">
                  <c:v>22</c:v>
                </c:pt>
              </c:numCache>
            </c:numRef>
          </c:val>
        </c:ser>
        <c:marker val="1"/>
        <c:axId val="139000832"/>
        <c:axId val="138884224"/>
      </c:lineChart>
      <c:catAx>
        <c:axId val="1390008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Threads</a:t>
                </a:r>
              </a:p>
            </c:rich>
          </c:tx>
        </c:title>
        <c:numFmt formatCode="General" sourceLinked="1"/>
        <c:tickLblPos val="nextTo"/>
        <c:crossAx val="138884224"/>
        <c:crosses val="autoZero"/>
        <c:auto val="1"/>
        <c:lblAlgn val="ctr"/>
        <c:lblOffset val="100"/>
      </c:catAx>
      <c:valAx>
        <c:axId val="13888422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Latency (average)</a:t>
                </a:r>
              </a:p>
            </c:rich>
          </c:tx>
        </c:title>
        <c:numFmt formatCode="General" sourceLinked="1"/>
        <c:tickLblPos val="nextTo"/>
        <c:crossAx val="139000832"/>
        <c:crosses val="autoZero"/>
        <c:crossBetween val="between"/>
      </c:valAx>
    </c:plotArea>
    <c:legend>
      <c:legendPos val="t"/>
    </c:legend>
    <c:plotVisOnly val="1"/>
    <c:dispBlanksAs val="gap"/>
  </c:chart>
  <c:printSettings>
    <c:headerFooter/>
    <c:pageMargins b="0.75000000000000677" l="0.70000000000000262" r="0.70000000000000262" t="0.75000000000000677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'100% write (back rmw)'!$C$36</c:f>
              <c:strCache>
                <c:ptCount val="1"/>
                <c:pt idx="0">
                  <c:v>LevelDB</c:v>
                </c:pt>
              </c:strCache>
            </c:strRef>
          </c:tx>
          <c:marker>
            <c:symbol val="none"/>
          </c:marker>
          <c:cat>
            <c:numRef>
              <c:f>'100% write (back rmw)'!$D$35:$H$35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'100% write (back rmw)'!$D$36:$H$36</c:f>
              <c:numCache>
                <c:formatCode>General</c:formatCode>
                <c:ptCount val="5"/>
                <c:pt idx="0">
                  <c:v>12</c:v>
                </c:pt>
                <c:pt idx="1">
                  <c:v>12</c:v>
                </c:pt>
                <c:pt idx="2">
                  <c:v>44</c:v>
                </c:pt>
                <c:pt idx="3">
                  <c:v>101</c:v>
                </c:pt>
                <c:pt idx="4">
                  <c:v>238</c:v>
                </c:pt>
              </c:numCache>
            </c:numRef>
          </c:val>
        </c:ser>
        <c:ser>
          <c:idx val="1"/>
          <c:order val="1"/>
          <c:tx>
            <c:strRef>
              <c:f>'100% write (back rmw)'!$C$37</c:f>
              <c:strCache>
                <c:ptCount val="1"/>
                <c:pt idx="0">
                  <c:v>cLSM</c:v>
                </c:pt>
              </c:strCache>
            </c:strRef>
          </c:tx>
          <c:marker>
            <c:symbol val="none"/>
          </c:marker>
          <c:cat>
            <c:numRef>
              <c:f>'100% write (back rmw)'!$D$35:$H$35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'100% write (back rmw)'!$D$37:$H$37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15</c:v>
                </c:pt>
                <c:pt idx="3">
                  <c:v>52</c:v>
                </c:pt>
                <c:pt idx="4">
                  <c:v>151</c:v>
                </c:pt>
              </c:numCache>
            </c:numRef>
          </c:val>
        </c:ser>
        <c:ser>
          <c:idx val="2"/>
          <c:order val="2"/>
          <c:tx>
            <c:strRef>
              <c:f>'100% write (back rmw)'!$C$38</c:f>
              <c:strCache>
                <c:ptCount val="1"/>
                <c:pt idx="0">
                  <c:v>cLSM-LS</c:v>
                </c:pt>
              </c:strCache>
            </c:strRef>
          </c:tx>
          <c:marker>
            <c:symbol val="none"/>
          </c:marker>
          <c:cat>
            <c:numRef>
              <c:f>'100% write (back rmw)'!$D$35:$H$35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'100% write (back rmw)'!$D$38:$H$38</c:f>
              <c:numCache>
                <c:formatCode>General</c:formatCode>
                <c:ptCount val="5"/>
                <c:pt idx="0">
                  <c:v>13</c:v>
                </c:pt>
                <c:pt idx="1">
                  <c:v>13</c:v>
                </c:pt>
                <c:pt idx="2">
                  <c:v>28</c:v>
                </c:pt>
                <c:pt idx="3">
                  <c:v>76</c:v>
                </c:pt>
                <c:pt idx="4">
                  <c:v>226</c:v>
                </c:pt>
              </c:numCache>
            </c:numRef>
          </c:val>
        </c:ser>
        <c:marker val="1"/>
        <c:axId val="138909952"/>
        <c:axId val="138924416"/>
      </c:lineChart>
      <c:catAx>
        <c:axId val="1389099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Threads</a:t>
                </a:r>
              </a:p>
            </c:rich>
          </c:tx>
        </c:title>
        <c:numFmt formatCode="General" sourceLinked="1"/>
        <c:tickLblPos val="nextTo"/>
        <c:crossAx val="138924416"/>
        <c:crosses val="autoZero"/>
        <c:auto val="1"/>
        <c:lblAlgn val="ctr"/>
        <c:lblOffset val="100"/>
      </c:catAx>
      <c:valAx>
        <c:axId val="13892441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Latency (95%)</a:t>
                </a:r>
              </a:p>
            </c:rich>
          </c:tx>
        </c:title>
        <c:numFmt formatCode="General" sourceLinked="1"/>
        <c:tickLblPos val="nextTo"/>
        <c:crossAx val="138909952"/>
        <c:crosses val="autoZero"/>
        <c:crossBetween val="between"/>
      </c:valAx>
    </c:plotArea>
    <c:legend>
      <c:legendPos val="t"/>
    </c:legend>
    <c:plotVisOnly val="1"/>
    <c:dispBlanksAs val="gap"/>
  </c:chart>
  <c:printSettings>
    <c:headerFooter/>
    <c:pageMargins b="0.75000000000000677" l="0.70000000000000262" r="0.70000000000000262" t="0.75000000000000677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'100% write (back rmw)'!$C$44</c:f>
              <c:strCache>
                <c:ptCount val="1"/>
                <c:pt idx="0">
                  <c:v>LevelDB</c:v>
                </c:pt>
              </c:strCache>
            </c:strRef>
          </c:tx>
          <c:marker>
            <c:symbol val="none"/>
          </c:marker>
          <c:cat>
            <c:numRef>
              <c:f>'100% write (back rmw)'!$D$43:$H$43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'100% write (back rmw)'!$D$44:$H$44</c:f>
              <c:numCache>
                <c:formatCode>General</c:formatCode>
                <c:ptCount val="5"/>
                <c:pt idx="0">
                  <c:v>41</c:v>
                </c:pt>
                <c:pt idx="1">
                  <c:v>39</c:v>
                </c:pt>
                <c:pt idx="2">
                  <c:v>101</c:v>
                </c:pt>
                <c:pt idx="3">
                  <c:v>175</c:v>
                </c:pt>
                <c:pt idx="4">
                  <c:v>379</c:v>
                </c:pt>
              </c:numCache>
            </c:numRef>
          </c:val>
        </c:ser>
        <c:ser>
          <c:idx val="1"/>
          <c:order val="1"/>
          <c:tx>
            <c:strRef>
              <c:f>'100% write (back rmw)'!$C$45</c:f>
              <c:strCache>
                <c:ptCount val="1"/>
                <c:pt idx="0">
                  <c:v>cLSM</c:v>
                </c:pt>
              </c:strCache>
            </c:strRef>
          </c:tx>
          <c:marker>
            <c:symbol val="none"/>
          </c:marker>
          <c:cat>
            <c:numRef>
              <c:f>'100% write (back rmw)'!$D$43:$H$43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'100% write (back rmw)'!$D$45:$H$45</c:f>
              <c:numCache>
                <c:formatCode>General</c:formatCode>
                <c:ptCount val="5"/>
                <c:pt idx="0">
                  <c:v>16</c:v>
                </c:pt>
                <c:pt idx="1">
                  <c:v>16</c:v>
                </c:pt>
                <c:pt idx="2">
                  <c:v>56</c:v>
                </c:pt>
                <c:pt idx="3">
                  <c:v>114</c:v>
                </c:pt>
                <c:pt idx="4">
                  <c:v>239</c:v>
                </c:pt>
              </c:numCache>
            </c:numRef>
          </c:val>
        </c:ser>
        <c:ser>
          <c:idx val="2"/>
          <c:order val="2"/>
          <c:tx>
            <c:strRef>
              <c:f>'100% write (back rmw)'!$C$46</c:f>
              <c:strCache>
                <c:ptCount val="1"/>
                <c:pt idx="0">
                  <c:v>cLSM-LS</c:v>
                </c:pt>
              </c:strCache>
            </c:strRef>
          </c:tx>
          <c:marker>
            <c:symbol val="none"/>
          </c:marker>
          <c:cat>
            <c:numRef>
              <c:f>'100% write (back rmw)'!$D$43:$H$43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'100% write (back rmw)'!$D$46:$H$46</c:f>
              <c:numCache>
                <c:formatCode>General</c:formatCode>
                <c:ptCount val="5"/>
                <c:pt idx="0">
                  <c:v>55</c:v>
                </c:pt>
                <c:pt idx="1">
                  <c:v>56</c:v>
                </c:pt>
                <c:pt idx="2">
                  <c:v>97</c:v>
                </c:pt>
                <c:pt idx="3">
                  <c:v>188</c:v>
                </c:pt>
                <c:pt idx="4">
                  <c:v>484</c:v>
                </c:pt>
              </c:numCache>
            </c:numRef>
          </c:val>
        </c:ser>
        <c:marker val="1"/>
        <c:axId val="139089408"/>
        <c:axId val="139091328"/>
      </c:lineChart>
      <c:catAx>
        <c:axId val="1390894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Threads</a:t>
                </a:r>
              </a:p>
            </c:rich>
          </c:tx>
        </c:title>
        <c:numFmt formatCode="General" sourceLinked="1"/>
        <c:tickLblPos val="nextTo"/>
        <c:crossAx val="139091328"/>
        <c:crosses val="autoZero"/>
        <c:auto val="1"/>
        <c:lblAlgn val="ctr"/>
        <c:lblOffset val="100"/>
      </c:catAx>
      <c:valAx>
        <c:axId val="13909132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Latency (99%)</a:t>
                </a:r>
              </a:p>
            </c:rich>
          </c:tx>
        </c:title>
        <c:numFmt formatCode="General" sourceLinked="1"/>
        <c:tickLblPos val="nextTo"/>
        <c:crossAx val="139089408"/>
        <c:crosses val="autoZero"/>
        <c:crossBetween val="between"/>
      </c:valAx>
    </c:plotArea>
    <c:legend>
      <c:legendPos val="t"/>
    </c:legend>
    <c:plotVisOnly val="1"/>
    <c:dispBlanksAs val="gap"/>
  </c:chart>
  <c:printSettings>
    <c:headerFooter/>
    <c:pageMargins b="0.75000000000000677" l="0.70000000000000262" r="0.70000000000000262" t="0.75000000000000677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plotArea>
      <c:layout/>
      <c:barChart>
        <c:barDir val="col"/>
        <c:grouping val="clustered"/>
        <c:ser>
          <c:idx val="0"/>
          <c:order val="0"/>
          <c:tx>
            <c:strRef>
              <c:f>'100% write (back rmw)'!$C$20</c:f>
              <c:strCache>
                <c:ptCount val="1"/>
                <c:pt idx="0">
                  <c:v>LevelDB</c:v>
                </c:pt>
              </c:strCache>
            </c:strRef>
          </c:tx>
          <c:spPr>
            <a:solidFill>
              <a:srgbClr val="0000FF"/>
            </a:solidFill>
          </c:spPr>
          <c:cat>
            <c:numRef>
              <c:f>'100% write (back rmw)'!$D$19:$H$19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'100% write (back rmw)'!$D$20:$H$20</c:f>
              <c:numCache>
                <c:formatCode>General</c:formatCode>
                <c:ptCount val="5"/>
                <c:pt idx="0">
                  <c:v>113984</c:v>
                </c:pt>
                <c:pt idx="1">
                  <c:v>117608</c:v>
                </c:pt>
                <c:pt idx="2">
                  <c:v>69078</c:v>
                </c:pt>
                <c:pt idx="3">
                  <c:v>59586</c:v>
                </c:pt>
                <c:pt idx="4">
                  <c:v>57019</c:v>
                </c:pt>
              </c:numCache>
            </c:numRef>
          </c:val>
        </c:ser>
        <c:ser>
          <c:idx val="1"/>
          <c:order val="1"/>
          <c:tx>
            <c:strRef>
              <c:f>'100% write (back rmw)'!$C$21</c:f>
              <c:strCache>
                <c:ptCount val="1"/>
                <c:pt idx="0">
                  <c:v>cLSM</c:v>
                </c:pt>
              </c:strCache>
            </c:strRef>
          </c:tx>
          <c:spPr>
            <a:solidFill>
              <a:srgbClr val="FF0000"/>
            </a:solidFill>
          </c:spPr>
          <c:cat>
            <c:numRef>
              <c:f>'100% write (back rmw)'!$D$19:$H$19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'100% write (back rmw)'!$D$21:$H$21</c:f>
              <c:numCache>
                <c:formatCode>General</c:formatCode>
                <c:ptCount val="5"/>
                <c:pt idx="0">
                  <c:v>159769</c:v>
                </c:pt>
                <c:pt idx="1">
                  <c:v>165594</c:v>
                </c:pt>
                <c:pt idx="2">
                  <c:v>233272</c:v>
                </c:pt>
                <c:pt idx="3">
                  <c:v>228158</c:v>
                </c:pt>
                <c:pt idx="4">
                  <c:v>194133</c:v>
                </c:pt>
              </c:numCache>
            </c:numRef>
          </c:val>
        </c:ser>
        <c:axId val="139018240"/>
        <c:axId val="139019776"/>
      </c:barChart>
      <c:catAx>
        <c:axId val="139018240"/>
        <c:scaling>
          <c:orientation val="minMax"/>
        </c:scaling>
        <c:axPos val="b"/>
        <c:numFmt formatCode="General" sourceLinked="1"/>
        <c:tickLblPos val="nextTo"/>
        <c:crossAx val="139019776"/>
        <c:crosses val="autoZero"/>
        <c:auto val="1"/>
        <c:lblAlgn val="ctr"/>
        <c:lblOffset val="100"/>
      </c:catAx>
      <c:valAx>
        <c:axId val="139019776"/>
        <c:scaling>
          <c:orientation val="minMax"/>
        </c:scaling>
        <c:axPos val="l"/>
        <c:numFmt formatCode="General" sourceLinked="1"/>
        <c:tickLblPos val="nextTo"/>
        <c:crossAx val="139018240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3.3333333333333305E-2"/>
                <c:y val="0.32407407407407701"/>
              </c:manualLayout>
            </c:layout>
            <c:tx>
              <c:rich>
                <a:bodyPr/>
                <a:lstStyle/>
                <a:p>
                  <a:pPr>
                    <a:defRPr/>
                  </a:pPr>
                  <a:r>
                    <a:rPr lang="fr-FR" sz="1000" b="1" i="0" baseline="0">
                      <a:effectLst/>
                    </a:rPr>
                    <a:t>ops/sec x 10</a:t>
                  </a:r>
                  <a:r>
                    <a:rPr lang="fr-FR" sz="1000" b="1" i="0" baseline="30000">
                      <a:effectLst/>
                    </a:rPr>
                    <a:t>3</a:t>
                  </a:r>
                  <a:endParaRPr lang="fr-FR" sz="1000">
                    <a:effectLst/>
                  </a:endParaRPr>
                </a:p>
              </c:rich>
            </c:tx>
          </c:dispUnitsLbl>
        </c:dispUnits>
      </c:valAx>
    </c:plotArea>
    <c:legend>
      <c:legendPos val="r"/>
    </c:legend>
    <c:plotVisOnly val="1"/>
    <c:dispBlanksAs val="gap"/>
  </c:chart>
  <c:printSettings>
    <c:headerFooter/>
    <c:pageMargins b="1" l="0.75000000000000189" r="0.75000000000000189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4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495300</xdr:colOff>
      <xdr:row>12</xdr:row>
      <xdr:rowOff>19050</xdr:rowOff>
    </xdr:from>
    <xdr:to>
      <xdr:col>17</xdr:col>
      <xdr:colOff>114300</xdr:colOff>
      <xdr:row>36</xdr:row>
      <xdr:rowOff>12700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590549</xdr:colOff>
      <xdr:row>11</xdr:row>
      <xdr:rowOff>165100</xdr:rowOff>
    </xdr:from>
    <xdr:to>
      <xdr:col>27</xdr:col>
      <xdr:colOff>504825</xdr:colOff>
      <xdr:row>39</xdr:row>
      <xdr:rowOff>19050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103186</xdr:colOff>
      <xdr:row>56</xdr:row>
      <xdr:rowOff>31751</xdr:rowOff>
    </xdr:from>
    <xdr:to>
      <xdr:col>21</xdr:col>
      <xdr:colOff>397100</xdr:colOff>
      <xdr:row>80</xdr:row>
      <xdr:rowOff>31751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88900</xdr:colOff>
      <xdr:row>4</xdr:row>
      <xdr:rowOff>6350</xdr:rowOff>
    </xdr:from>
    <xdr:to>
      <xdr:col>21</xdr:col>
      <xdr:colOff>463550</xdr:colOff>
      <xdr:row>27</xdr:row>
      <xdr:rowOff>69850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584200</xdr:colOff>
      <xdr:row>4</xdr:row>
      <xdr:rowOff>3175</xdr:rowOff>
    </xdr:from>
    <xdr:to>
      <xdr:col>31</xdr:col>
      <xdr:colOff>95250</xdr:colOff>
      <xdr:row>32</xdr:row>
      <xdr:rowOff>47625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438149</xdr:colOff>
      <xdr:row>43</xdr:row>
      <xdr:rowOff>64294</xdr:rowOff>
    </xdr:from>
    <xdr:to>
      <xdr:col>30</xdr:col>
      <xdr:colOff>14287</xdr:colOff>
      <xdr:row>67</xdr:row>
      <xdr:rowOff>64294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71</xdr:row>
      <xdr:rowOff>0</xdr:rowOff>
    </xdr:from>
    <xdr:to>
      <xdr:col>27</xdr:col>
      <xdr:colOff>171450</xdr:colOff>
      <xdr:row>95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</xdr:colOff>
      <xdr:row>12</xdr:row>
      <xdr:rowOff>12700</xdr:rowOff>
    </xdr:from>
    <xdr:to>
      <xdr:col>17</xdr:col>
      <xdr:colOff>12700</xdr:colOff>
      <xdr:row>34</xdr:row>
      <xdr:rowOff>12700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11</xdr:row>
      <xdr:rowOff>171450</xdr:rowOff>
    </xdr:from>
    <xdr:to>
      <xdr:col>24</xdr:col>
      <xdr:colOff>533400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51</xdr:row>
      <xdr:rowOff>190499</xdr:rowOff>
    </xdr:from>
    <xdr:to>
      <xdr:col>22</xdr:col>
      <xdr:colOff>171450</xdr:colOff>
      <xdr:row>75</xdr:row>
      <xdr:rowOff>190499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12700</xdr:colOff>
      <xdr:row>17</xdr:row>
      <xdr:rowOff>20636</xdr:rowOff>
    </xdr:from>
    <xdr:to>
      <xdr:col>20</xdr:col>
      <xdr:colOff>336550</xdr:colOff>
      <xdr:row>39</xdr:row>
      <xdr:rowOff>25399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6349</xdr:colOff>
      <xdr:row>39</xdr:row>
      <xdr:rowOff>119062</xdr:rowOff>
    </xdr:from>
    <xdr:to>
      <xdr:col>9</xdr:col>
      <xdr:colOff>320674</xdr:colOff>
      <xdr:row>54</xdr:row>
      <xdr:rowOff>17462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16</xdr:row>
      <xdr:rowOff>12700</xdr:rowOff>
    </xdr:from>
    <xdr:to>
      <xdr:col>17</xdr:col>
      <xdr:colOff>25400</xdr:colOff>
      <xdr:row>40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647700</xdr:colOff>
      <xdr:row>3</xdr:row>
      <xdr:rowOff>76200</xdr:rowOff>
    </xdr:from>
    <xdr:to>
      <xdr:col>17</xdr:col>
      <xdr:colOff>25400</xdr:colOff>
      <xdr:row>26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73268</xdr:colOff>
      <xdr:row>8</xdr:row>
      <xdr:rowOff>11723</xdr:rowOff>
    </xdr:from>
    <xdr:to>
      <xdr:col>20</xdr:col>
      <xdr:colOff>266698</xdr:colOff>
      <xdr:row>32</xdr:row>
      <xdr:rowOff>11723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574675</xdr:colOff>
      <xdr:row>3</xdr:row>
      <xdr:rowOff>101600</xdr:rowOff>
    </xdr:from>
    <xdr:to>
      <xdr:col>17</xdr:col>
      <xdr:colOff>444500</xdr:colOff>
      <xdr:row>27</xdr:row>
      <xdr:rowOff>57150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31</xdr:row>
      <xdr:rowOff>9525</xdr:rowOff>
    </xdr:from>
    <xdr:to>
      <xdr:col>18</xdr:col>
      <xdr:colOff>462189</xdr:colOff>
      <xdr:row>47</xdr:row>
      <xdr:rowOff>92075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581026</xdr:colOff>
      <xdr:row>49</xdr:row>
      <xdr:rowOff>161925</xdr:rowOff>
    </xdr:from>
    <xdr:to>
      <xdr:col>18</xdr:col>
      <xdr:colOff>352426</xdr:colOff>
      <xdr:row>66</xdr:row>
      <xdr:rowOff>53975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47624</xdr:colOff>
      <xdr:row>31</xdr:row>
      <xdr:rowOff>0</xdr:rowOff>
    </xdr:from>
    <xdr:to>
      <xdr:col>18</xdr:col>
      <xdr:colOff>490763</xdr:colOff>
      <xdr:row>47</xdr:row>
      <xdr:rowOff>82550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49</xdr:row>
      <xdr:rowOff>152400</xdr:rowOff>
    </xdr:from>
    <xdr:to>
      <xdr:col>18</xdr:col>
      <xdr:colOff>381000</xdr:colOff>
      <xdr:row>66</xdr:row>
      <xdr:rowOff>44450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9525</xdr:colOff>
      <xdr:row>4</xdr:row>
      <xdr:rowOff>76200</xdr:rowOff>
    </xdr:from>
    <xdr:to>
      <xdr:col>19</xdr:col>
      <xdr:colOff>9526</xdr:colOff>
      <xdr:row>25</xdr:row>
      <xdr:rowOff>177800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47624</xdr:colOff>
      <xdr:row>31</xdr:row>
      <xdr:rowOff>0</xdr:rowOff>
    </xdr:from>
    <xdr:to>
      <xdr:col>18</xdr:col>
      <xdr:colOff>490763</xdr:colOff>
      <xdr:row>47</xdr:row>
      <xdr:rowOff>82550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49</xdr:row>
      <xdr:rowOff>152400</xdr:rowOff>
    </xdr:from>
    <xdr:to>
      <xdr:col>18</xdr:col>
      <xdr:colOff>381000</xdr:colOff>
      <xdr:row>66</xdr:row>
      <xdr:rowOff>44450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438150</xdr:colOff>
      <xdr:row>3</xdr:row>
      <xdr:rowOff>114300</xdr:rowOff>
    </xdr:from>
    <xdr:to>
      <xdr:col>18</xdr:col>
      <xdr:colOff>438151</xdr:colOff>
      <xdr:row>25</xdr:row>
      <xdr:rowOff>25400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6</xdr:row>
      <xdr:rowOff>0</xdr:rowOff>
    </xdr:from>
    <xdr:to>
      <xdr:col>18</xdr:col>
      <xdr:colOff>209551</xdr:colOff>
      <xdr:row>27</xdr:row>
      <xdr:rowOff>101600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190500</xdr:colOff>
      <xdr:row>3</xdr:row>
      <xdr:rowOff>19050</xdr:rowOff>
    </xdr:from>
    <xdr:to>
      <xdr:col>21</xdr:col>
      <xdr:colOff>495300</xdr:colOff>
      <xdr:row>30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3</xdr:row>
      <xdr:rowOff>104775</xdr:rowOff>
    </xdr:from>
    <xdr:to>
      <xdr:col>26</xdr:col>
      <xdr:colOff>304800</xdr:colOff>
      <xdr:row>16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18</xdr:row>
      <xdr:rowOff>71438</xdr:rowOff>
    </xdr:from>
    <xdr:to>
      <xdr:col>26</xdr:col>
      <xdr:colOff>304800</xdr:colOff>
      <xdr:row>32</xdr:row>
      <xdr:rowOff>119063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35</xdr:row>
      <xdr:rowOff>0</xdr:rowOff>
    </xdr:from>
    <xdr:to>
      <xdr:col>26</xdr:col>
      <xdr:colOff>304800</xdr:colOff>
      <xdr:row>49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12</xdr:row>
      <xdr:rowOff>31750</xdr:rowOff>
    </xdr:from>
    <xdr:to>
      <xdr:col>15</xdr:col>
      <xdr:colOff>533400</xdr:colOff>
      <xdr:row>27</xdr:row>
      <xdr:rowOff>107950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U76"/>
  <sheetViews>
    <sheetView tabSelected="1" topLeftCell="A37" zoomScale="70" zoomScaleNormal="70" workbookViewId="0">
      <selection activeCell="Z66" sqref="Z66"/>
    </sheetView>
  </sheetViews>
  <sheetFormatPr defaultColWidth="8.85546875" defaultRowHeight="15"/>
  <cols>
    <col min="1" max="1" width="7.85546875" customWidth="1"/>
    <col min="2" max="2" width="9.140625" hidden="1" customWidth="1"/>
    <col min="3" max="3" width="31.28515625" customWidth="1"/>
  </cols>
  <sheetData>
    <row r="2" spans="3:6">
      <c r="C2" s="1"/>
      <c r="F2" s="8"/>
    </row>
    <row r="17" spans="3:8">
      <c r="C17" t="s">
        <v>5</v>
      </c>
      <c r="E17" t="s">
        <v>13</v>
      </c>
    </row>
    <row r="18" spans="3:8">
      <c r="C18" s="5" t="s">
        <v>1</v>
      </c>
    </row>
    <row r="19" spans="3:8">
      <c r="C19" s="2" t="s">
        <v>0</v>
      </c>
      <c r="D19" s="2">
        <v>1</v>
      </c>
      <c r="E19" s="2">
        <v>2</v>
      </c>
      <c r="F19" s="2">
        <v>4</v>
      </c>
      <c r="G19" s="2">
        <v>8</v>
      </c>
      <c r="H19" s="2">
        <v>16</v>
      </c>
    </row>
    <row r="20" spans="3:8">
      <c r="C20" s="3" t="s">
        <v>14</v>
      </c>
      <c r="D20" s="4">
        <v>162994</v>
      </c>
      <c r="E20" s="4">
        <v>93076</v>
      </c>
      <c r="F20" s="4">
        <v>80547</v>
      </c>
      <c r="G20" s="4">
        <v>92364</v>
      </c>
      <c r="H20" s="4">
        <v>95739</v>
      </c>
    </row>
    <row r="21" spans="3:8">
      <c r="C21" s="3" t="s">
        <v>15</v>
      </c>
      <c r="D21" s="4">
        <v>173506</v>
      </c>
      <c r="E21" s="4">
        <v>246617</v>
      </c>
      <c r="F21" s="4">
        <v>333371</v>
      </c>
      <c r="G21" s="4">
        <v>431060</v>
      </c>
      <c r="H21" s="4">
        <v>386918</v>
      </c>
    </row>
    <row r="22" spans="3:8">
      <c r="C22" s="3" t="s">
        <v>16</v>
      </c>
      <c r="D22" s="4">
        <v>178284</v>
      </c>
      <c r="E22" s="4">
        <v>218273</v>
      </c>
      <c r="F22" s="4">
        <v>236788</v>
      </c>
      <c r="G22" s="4">
        <v>204397</v>
      </c>
      <c r="H22" s="4">
        <v>47082</v>
      </c>
    </row>
    <row r="23" spans="3:8">
      <c r="C23" s="3" t="s">
        <v>12</v>
      </c>
      <c r="D23" s="4">
        <v>99289</v>
      </c>
      <c r="E23" s="4">
        <v>107074</v>
      </c>
      <c r="F23" s="4">
        <v>78031</v>
      </c>
      <c r="G23" s="4">
        <v>74816</v>
      </c>
      <c r="H23" s="4">
        <v>72509</v>
      </c>
    </row>
    <row r="24" spans="3:8">
      <c r="C24" s="3" t="s">
        <v>34</v>
      </c>
      <c r="D24" s="4">
        <v>60976</v>
      </c>
      <c r="E24" s="4">
        <v>39213</v>
      </c>
      <c r="F24" s="4">
        <v>39159</v>
      </c>
      <c r="G24" s="4">
        <v>55555</v>
      </c>
      <c r="H24" s="4">
        <v>65482</v>
      </c>
    </row>
    <row r="25" spans="3:8">
      <c r="C25" s="3" t="s">
        <v>17</v>
      </c>
      <c r="D25" s="4">
        <v>173250</v>
      </c>
      <c r="E25" s="4">
        <v>270969</v>
      </c>
      <c r="F25" s="4">
        <v>386358</v>
      </c>
      <c r="G25" s="4">
        <v>425470</v>
      </c>
      <c r="H25" s="4">
        <v>421437</v>
      </c>
    </row>
    <row r="26" spans="3:8">
      <c r="C26" s="6" t="s">
        <v>7</v>
      </c>
      <c r="D26" s="6">
        <f>(D21/D20)*100</f>
        <v>106.44931715277863</v>
      </c>
      <c r="E26" s="6">
        <f t="shared" ref="E26:H26" si="0">(E21/E20)*100</f>
        <v>264.96304095577807</v>
      </c>
      <c r="F26" s="6">
        <f t="shared" si="0"/>
        <v>413.88381938495542</v>
      </c>
      <c r="G26" s="6">
        <f t="shared" si="0"/>
        <v>466.69698150794676</v>
      </c>
      <c r="H26" s="6">
        <f t="shared" si="0"/>
        <v>404.13833443006507</v>
      </c>
    </row>
    <row r="27" spans="3:8">
      <c r="D27" s="8">
        <f>D25/D21</f>
        <v>0.99852454670155499</v>
      </c>
      <c r="E27" s="8">
        <f>E25/E21</f>
        <v>1.098744206603762</v>
      </c>
      <c r="F27" s="8">
        <f>F25/F21</f>
        <v>1.1589430394365436</v>
      </c>
      <c r="G27" s="8">
        <f t="shared" ref="G27:H27" si="1">G25/G21</f>
        <v>0.98703196770751167</v>
      </c>
      <c r="H27" s="8">
        <f t="shared" si="1"/>
        <v>1.089215285926217</v>
      </c>
    </row>
    <row r="28" spans="3:8">
      <c r="D28" s="8"/>
      <c r="E28" s="8"/>
      <c r="F28" s="8"/>
      <c r="G28" s="8"/>
      <c r="H28" s="8"/>
    </row>
    <row r="29" spans="3:8">
      <c r="C29" s="5" t="s">
        <v>18</v>
      </c>
    </row>
    <row r="30" spans="3:8">
      <c r="C30" s="2" t="s">
        <v>0</v>
      </c>
      <c r="D30" s="2">
        <v>1</v>
      </c>
      <c r="E30" s="2">
        <v>2</v>
      </c>
      <c r="F30" s="2">
        <v>4</v>
      </c>
      <c r="G30" s="2">
        <v>8</v>
      </c>
      <c r="H30" s="2">
        <v>16</v>
      </c>
    </row>
    <row r="31" spans="3:8">
      <c r="C31" s="3" t="s">
        <v>14</v>
      </c>
      <c r="D31" s="4">
        <v>5</v>
      </c>
      <c r="E31" s="4">
        <v>19</v>
      </c>
      <c r="F31" s="4">
        <v>44</v>
      </c>
      <c r="G31" s="4">
        <v>77</v>
      </c>
      <c r="H31" s="4">
        <v>156</v>
      </c>
    </row>
    <row r="32" spans="3:8">
      <c r="C32" s="3" t="s">
        <v>15</v>
      </c>
      <c r="D32" s="4">
        <v>6</v>
      </c>
      <c r="E32" s="4">
        <v>8</v>
      </c>
      <c r="F32" s="4">
        <v>10</v>
      </c>
      <c r="G32" s="4">
        <v>15</v>
      </c>
      <c r="H32" s="4">
        <v>24</v>
      </c>
    </row>
    <row r="33" spans="3:21">
      <c r="C33" s="3" t="s">
        <v>16</v>
      </c>
      <c r="D33">
        <v>6</v>
      </c>
      <c r="E33">
        <v>9</v>
      </c>
      <c r="F33">
        <v>15</v>
      </c>
      <c r="G33">
        <v>36</v>
      </c>
      <c r="H33">
        <v>223</v>
      </c>
    </row>
    <row r="34" spans="3:21">
      <c r="C34" s="3" t="s">
        <v>12</v>
      </c>
      <c r="D34">
        <v>10</v>
      </c>
      <c r="E34">
        <v>19</v>
      </c>
      <c r="F34">
        <v>50</v>
      </c>
      <c r="G34">
        <v>101</v>
      </c>
      <c r="H34">
        <v>107</v>
      </c>
    </row>
    <row r="35" spans="3:21">
      <c r="C35" s="3" t="s">
        <v>34</v>
      </c>
      <c r="D35">
        <v>9</v>
      </c>
      <c r="E35">
        <v>36</v>
      </c>
      <c r="F35">
        <v>63</v>
      </c>
      <c r="G35">
        <v>108</v>
      </c>
      <c r="H35">
        <v>202</v>
      </c>
    </row>
    <row r="36" spans="3:21">
      <c r="C36" s="3" t="s">
        <v>17</v>
      </c>
    </row>
    <row r="38" spans="3:21">
      <c r="C38" s="5" t="s">
        <v>21</v>
      </c>
    </row>
    <row r="39" spans="3:21">
      <c r="C39" s="2" t="s">
        <v>0</v>
      </c>
      <c r="D39" s="2">
        <v>1</v>
      </c>
      <c r="E39" s="2">
        <v>2</v>
      </c>
      <c r="F39" s="2">
        <v>4</v>
      </c>
      <c r="G39" s="2">
        <v>8</v>
      </c>
      <c r="H39" s="2">
        <v>16</v>
      </c>
    </row>
    <row r="40" spans="3:21">
      <c r="C40" s="3" t="s">
        <v>22</v>
      </c>
      <c r="D40">
        <v>8</v>
      </c>
      <c r="E40">
        <v>28</v>
      </c>
      <c r="F40">
        <v>59</v>
      </c>
      <c r="G40">
        <v>97</v>
      </c>
      <c r="H40">
        <v>191</v>
      </c>
    </row>
    <row r="41" spans="3:21">
      <c r="C41" s="3" t="s">
        <v>15</v>
      </c>
      <c r="D41">
        <v>8</v>
      </c>
      <c r="E41">
        <v>12</v>
      </c>
      <c r="F41">
        <v>18</v>
      </c>
      <c r="G41">
        <v>31</v>
      </c>
      <c r="H41">
        <v>72</v>
      </c>
    </row>
    <row r="42" spans="3:21">
      <c r="C42" s="3" t="s">
        <v>23</v>
      </c>
      <c r="D42">
        <v>7</v>
      </c>
      <c r="E42">
        <v>12</v>
      </c>
      <c r="F42">
        <v>24</v>
      </c>
      <c r="G42">
        <v>51</v>
      </c>
      <c r="H42">
        <v>231</v>
      </c>
    </row>
    <row r="43" spans="3:21">
      <c r="C43" s="3" t="s">
        <v>12</v>
      </c>
      <c r="D43">
        <v>12</v>
      </c>
      <c r="E43">
        <v>30</v>
      </c>
      <c r="F43">
        <v>88</v>
      </c>
      <c r="G43">
        <v>205</v>
      </c>
      <c r="H43">
        <v>461</v>
      </c>
    </row>
    <row r="44" spans="3:21">
      <c r="C44" s="3" t="s">
        <v>34</v>
      </c>
      <c r="D44">
        <v>13</v>
      </c>
      <c r="E44">
        <v>47</v>
      </c>
      <c r="F44">
        <v>81</v>
      </c>
      <c r="G44">
        <v>133</v>
      </c>
      <c r="H44">
        <v>244</v>
      </c>
    </row>
    <row r="45" spans="3:21">
      <c r="D45" s="8"/>
      <c r="E45" s="8"/>
      <c r="F45" s="8"/>
      <c r="G45" s="8"/>
      <c r="H45" s="8"/>
    </row>
    <row r="46" spans="3:21">
      <c r="C46" s="5" t="s">
        <v>2</v>
      </c>
      <c r="D46" s="8"/>
      <c r="E46" s="8"/>
      <c r="F46" s="8"/>
      <c r="G46" s="8"/>
      <c r="H46" s="8"/>
    </row>
    <row r="47" spans="3:21">
      <c r="C47" s="2" t="s">
        <v>0</v>
      </c>
      <c r="D47" s="2">
        <v>1</v>
      </c>
      <c r="E47" s="2">
        <v>2</v>
      </c>
      <c r="F47" s="2">
        <v>4</v>
      </c>
      <c r="G47" s="2">
        <v>8</v>
      </c>
      <c r="H47" s="2">
        <v>16</v>
      </c>
      <c r="N47" t="str">
        <f>C49</f>
        <v>cLSM</v>
      </c>
      <c r="O47">
        <f>G32</f>
        <v>15</v>
      </c>
      <c r="P47">
        <f>G41-G32</f>
        <v>16</v>
      </c>
      <c r="Q47">
        <f>G58-G41</f>
        <v>35</v>
      </c>
      <c r="R47" s="4"/>
    </row>
    <row r="48" spans="3:21">
      <c r="C48" s="3" t="s">
        <v>14</v>
      </c>
      <c r="D48" s="4">
        <v>12</v>
      </c>
      <c r="E48" s="4">
        <v>39</v>
      </c>
      <c r="F48" s="4">
        <v>79</v>
      </c>
      <c r="G48" s="4">
        <v>137</v>
      </c>
      <c r="H48" s="4">
        <v>258</v>
      </c>
      <c r="N48" t="str">
        <f>C50</f>
        <v>HyperLevelDB</v>
      </c>
      <c r="O48">
        <f>G33</f>
        <v>36</v>
      </c>
      <c r="P48">
        <f>G42-G33</f>
        <v>15</v>
      </c>
      <c r="Q48" s="4">
        <f>G59-G42</f>
        <v>38</v>
      </c>
      <c r="R48" s="4"/>
      <c r="S48" s="4"/>
      <c r="T48" s="4"/>
      <c r="U48" s="4"/>
    </row>
    <row r="49" spans="3:17">
      <c r="C49" s="3" t="s">
        <v>15</v>
      </c>
      <c r="D49" s="4">
        <v>9</v>
      </c>
      <c r="E49" s="4">
        <v>14</v>
      </c>
      <c r="F49" s="4">
        <v>23</v>
      </c>
      <c r="G49" s="4">
        <v>39</v>
      </c>
      <c r="H49" s="4">
        <v>93</v>
      </c>
      <c r="N49" t="str">
        <f>C48</f>
        <v>LevelDB</v>
      </c>
      <c r="O49">
        <f>G31</f>
        <v>77</v>
      </c>
      <c r="P49">
        <f>G40-G31</f>
        <v>20</v>
      </c>
      <c r="Q49" s="4">
        <f>G57-G40</f>
        <v>40</v>
      </c>
    </row>
    <row r="50" spans="3:17">
      <c r="C50" s="3" t="s">
        <v>16</v>
      </c>
      <c r="D50">
        <v>9</v>
      </c>
      <c r="E50">
        <v>16</v>
      </c>
      <c r="F50">
        <v>29</v>
      </c>
      <c r="G50">
        <v>66</v>
      </c>
      <c r="H50">
        <v>245</v>
      </c>
      <c r="N50" t="str">
        <f>C60</f>
        <v>bLSM</v>
      </c>
      <c r="O50">
        <f>G34</f>
        <v>101</v>
      </c>
      <c r="P50">
        <f>G43-G34</f>
        <v>104</v>
      </c>
      <c r="Q50" s="4">
        <f>G60-G43</f>
        <v>141</v>
      </c>
    </row>
    <row r="51" spans="3:17">
      <c r="C51" s="3" t="s">
        <v>12</v>
      </c>
      <c r="D51">
        <v>13</v>
      </c>
      <c r="E51">
        <v>35</v>
      </c>
      <c r="F51">
        <v>104</v>
      </c>
      <c r="G51">
        <v>248</v>
      </c>
      <c r="H51">
        <v>575</v>
      </c>
      <c r="N51" t="s">
        <v>34</v>
      </c>
      <c r="O51">
        <f>G35</f>
        <v>108</v>
      </c>
      <c r="P51">
        <f>G44-G35</f>
        <v>25</v>
      </c>
      <c r="Q51" s="4">
        <f>G61-G44</f>
        <v>26</v>
      </c>
    </row>
    <row r="52" spans="3:17">
      <c r="C52" s="3" t="s">
        <v>34</v>
      </c>
      <c r="D52">
        <v>15</v>
      </c>
      <c r="E52">
        <v>50</v>
      </c>
      <c r="F52">
        <v>87</v>
      </c>
      <c r="G52">
        <v>138</v>
      </c>
      <c r="H52">
        <v>249</v>
      </c>
      <c r="Q52" s="4"/>
    </row>
    <row r="53" spans="3:17">
      <c r="C53" s="3" t="s">
        <v>17</v>
      </c>
      <c r="Q53" s="4"/>
    </row>
    <row r="54" spans="3:17">
      <c r="D54" s="8"/>
      <c r="E54" s="8"/>
      <c r="F54" s="8"/>
      <c r="G54" s="8"/>
      <c r="H54" s="8"/>
    </row>
    <row r="55" spans="3:17">
      <c r="C55" s="5" t="s">
        <v>3</v>
      </c>
      <c r="D55" s="8"/>
      <c r="E55" s="8"/>
      <c r="F55" s="8"/>
      <c r="G55" s="8"/>
      <c r="H55" s="8"/>
    </row>
    <row r="56" spans="3:17">
      <c r="C56" s="2" t="s">
        <v>0</v>
      </c>
      <c r="D56" s="2">
        <v>1</v>
      </c>
      <c r="E56" s="2">
        <v>2</v>
      </c>
      <c r="F56" s="2">
        <v>4</v>
      </c>
      <c r="G56" s="2">
        <v>8</v>
      </c>
      <c r="H56" s="2">
        <v>16</v>
      </c>
    </row>
    <row r="57" spans="3:17">
      <c r="C57" s="3" t="s">
        <v>14</v>
      </c>
      <c r="D57" s="4">
        <v>12</v>
      </c>
      <c r="E57" s="4">
        <v>39</v>
      </c>
      <c r="F57" s="4">
        <v>79</v>
      </c>
      <c r="G57" s="4">
        <v>137</v>
      </c>
      <c r="H57" s="4">
        <v>258</v>
      </c>
    </row>
    <row r="58" spans="3:17">
      <c r="C58" s="3" t="s">
        <v>15</v>
      </c>
      <c r="D58" s="4">
        <v>13</v>
      </c>
      <c r="E58" s="4">
        <v>22</v>
      </c>
      <c r="F58" s="4">
        <v>35</v>
      </c>
      <c r="G58" s="4">
        <v>66</v>
      </c>
      <c r="H58" s="4">
        <v>189</v>
      </c>
    </row>
    <row r="59" spans="3:17">
      <c r="C59" s="3" t="s">
        <v>16</v>
      </c>
      <c r="D59">
        <v>12</v>
      </c>
      <c r="E59">
        <v>24</v>
      </c>
      <c r="F59">
        <v>42</v>
      </c>
      <c r="G59">
        <v>89</v>
      </c>
      <c r="H59">
        <v>8883</v>
      </c>
    </row>
    <row r="60" spans="3:17">
      <c r="C60" s="3" t="s">
        <v>12</v>
      </c>
      <c r="D60">
        <v>15</v>
      </c>
      <c r="E60">
        <v>44</v>
      </c>
      <c r="F60">
        <v>139</v>
      </c>
      <c r="G60">
        <v>346</v>
      </c>
      <c r="H60">
        <v>827</v>
      </c>
    </row>
    <row r="61" spans="3:17">
      <c r="C61" s="3" t="s">
        <v>34</v>
      </c>
      <c r="D61">
        <v>19</v>
      </c>
      <c r="E61">
        <v>62</v>
      </c>
      <c r="F61">
        <v>109</v>
      </c>
      <c r="G61">
        <v>159</v>
      </c>
      <c r="H61">
        <v>300</v>
      </c>
    </row>
    <row r="62" spans="3:17">
      <c r="C62" s="3" t="s">
        <v>17</v>
      </c>
    </row>
    <row r="65" spans="2:8">
      <c r="C65" s="5" t="s">
        <v>36</v>
      </c>
    </row>
    <row r="66" spans="2:8">
      <c r="C66" s="18"/>
    </row>
    <row r="67" spans="2:8">
      <c r="C67" s="3" t="s">
        <v>14</v>
      </c>
      <c r="D67" s="19">
        <v>162994</v>
      </c>
      <c r="E67" s="19">
        <v>93076</v>
      </c>
      <c r="F67" s="19">
        <v>80547</v>
      </c>
      <c r="G67" s="19">
        <v>92364</v>
      </c>
      <c r="H67" s="19">
        <v>95739</v>
      </c>
    </row>
    <row r="68" spans="2:8">
      <c r="B68" t="s">
        <v>8</v>
      </c>
      <c r="C68" s="3"/>
      <c r="D68" s="19">
        <v>7</v>
      </c>
      <c r="E68" s="19">
        <v>28</v>
      </c>
      <c r="F68" s="19">
        <v>59</v>
      </c>
      <c r="G68" s="19">
        <v>97</v>
      </c>
      <c r="H68" s="19">
        <v>191</v>
      </c>
    </row>
    <row r="69" spans="2:8">
      <c r="C69" s="3" t="s">
        <v>15</v>
      </c>
      <c r="D69" s="20">
        <v>173506</v>
      </c>
      <c r="E69" s="20">
        <v>246617</v>
      </c>
      <c r="F69" s="20">
        <v>333371</v>
      </c>
      <c r="G69" s="20">
        <v>431060</v>
      </c>
      <c r="H69" s="20">
        <v>386918</v>
      </c>
    </row>
    <row r="70" spans="2:8">
      <c r="C70" s="3"/>
      <c r="D70" s="20">
        <v>8</v>
      </c>
      <c r="E70" s="20">
        <v>12</v>
      </c>
      <c r="F70" s="20">
        <v>18</v>
      </c>
      <c r="G70" s="20">
        <v>31</v>
      </c>
      <c r="H70" s="20">
        <v>72</v>
      </c>
    </row>
    <row r="71" spans="2:8">
      <c r="C71" s="3" t="s">
        <v>16</v>
      </c>
      <c r="D71" s="19">
        <v>178284</v>
      </c>
      <c r="E71" s="19">
        <v>218273</v>
      </c>
      <c r="F71" s="19">
        <v>236788</v>
      </c>
      <c r="G71" s="19">
        <v>204397</v>
      </c>
      <c r="H71" s="19">
        <v>47082</v>
      </c>
    </row>
    <row r="72" spans="2:8">
      <c r="C72" s="3"/>
      <c r="D72" s="19">
        <v>7</v>
      </c>
      <c r="E72" s="19">
        <v>12</v>
      </c>
      <c r="F72" s="19">
        <v>24</v>
      </c>
      <c r="G72" s="19">
        <v>51</v>
      </c>
      <c r="H72" s="19">
        <v>231</v>
      </c>
    </row>
    <row r="73" spans="2:8">
      <c r="C73" s="3" t="s">
        <v>12</v>
      </c>
      <c r="D73" s="20">
        <v>99289</v>
      </c>
      <c r="E73" s="20">
        <v>107074</v>
      </c>
      <c r="F73" s="20">
        <v>78031</v>
      </c>
      <c r="G73" s="20">
        <v>74816</v>
      </c>
      <c r="H73" s="20">
        <v>72509</v>
      </c>
    </row>
    <row r="74" spans="2:8">
      <c r="C74" s="3"/>
      <c r="D74" s="20">
        <v>12</v>
      </c>
      <c r="E74" s="20">
        <v>30</v>
      </c>
      <c r="F74" s="20">
        <v>88</v>
      </c>
      <c r="G74" s="20">
        <v>205</v>
      </c>
      <c r="H74" s="20">
        <v>461</v>
      </c>
    </row>
    <row r="75" spans="2:8">
      <c r="C75" s="3" t="s">
        <v>34</v>
      </c>
      <c r="D75" s="19">
        <v>60976</v>
      </c>
      <c r="E75" s="19">
        <v>39213</v>
      </c>
      <c r="F75" s="19">
        <v>39159</v>
      </c>
      <c r="G75" s="19">
        <v>55555</v>
      </c>
      <c r="H75" s="19">
        <v>65482</v>
      </c>
    </row>
    <row r="76" spans="2:8">
      <c r="C76" s="3"/>
      <c r="D76" s="19">
        <v>13</v>
      </c>
      <c r="E76" s="19">
        <v>47</v>
      </c>
      <c r="F76" s="19">
        <v>81</v>
      </c>
      <c r="G76" s="19">
        <v>133</v>
      </c>
      <c r="H76" s="19">
        <v>244</v>
      </c>
    </row>
  </sheetData>
  <phoneticPr fontId="6" type="noConversion"/>
  <pageMargins left="0.7" right="0.7" top="0.75" bottom="0.75" header="0.3" footer="0.3"/>
  <pageSetup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2:Q76"/>
  <sheetViews>
    <sheetView topLeftCell="D64" zoomScale="80" zoomScaleNormal="80" workbookViewId="0">
      <selection activeCell="M94" sqref="M94"/>
    </sheetView>
  </sheetViews>
  <sheetFormatPr defaultColWidth="8.85546875" defaultRowHeight="15"/>
  <cols>
    <col min="3" max="3" width="16" customWidth="1"/>
  </cols>
  <sheetData>
    <row r="2" spans="3:6">
      <c r="C2" s="1"/>
      <c r="F2" s="8"/>
    </row>
    <row r="17" spans="3:12">
      <c r="C17" t="s">
        <v>6</v>
      </c>
      <c r="E17" t="s">
        <v>13</v>
      </c>
    </row>
    <row r="18" spans="3:12">
      <c r="C18" s="5" t="s">
        <v>1</v>
      </c>
    </row>
    <row r="19" spans="3:12">
      <c r="C19" s="2" t="s">
        <v>0</v>
      </c>
      <c r="D19" s="2">
        <v>1</v>
      </c>
      <c r="E19" s="2">
        <v>2</v>
      </c>
      <c r="F19" s="2">
        <v>4</v>
      </c>
      <c r="G19" s="2">
        <v>8</v>
      </c>
      <c r="H19" s="2">
        <v>16</v>
      </c>
      <c r="I19" s="2">
        <v>32</v>
      </c>
      <c r="J19" s="2">
        <v>64</v>
      </c>
      <c r="K19" s="2">
        <v>128</v>
      </c>
    </row>
    <row r="20" spans="3:12">
      <c r="C20" s="3" t="s">
        <v>14</v>
      </c>
      <c r="D20" s="4">
        <v>79765</v>
      </c>
      <c r="E20" s="4">
        <v>225984</v>
      </c>
      <c r="F20" s="4">
        <v>450297</v>
      </c>
      <c r="G20" s="4">
        <v>704193</v>
      </c>
      <c r="H20" s="4">
        <v>639229</v>
      </c>
      <c r="I20">
        <v>692164</v>
      </c>
      <c r="J20">
        <v>696921</v>
      </c>
      <c r="K20">
        <v>703077</v>
      </c>
    </row>
    <row r="21" spans="3:12">
      <c r="C21" s="3" t="s">
        <v>15</v>
      </c>
      <c r="D21" s="4">
        <v>102880</v>
      </c>
      <c r="E21" s="4">
        <v>223955</v>
      </c>
      <c r="F21" s="4">
        <v>441842</v>
      </c>
      <c r="G21" s="4">
        <v>851114</v>
      </c>
      <c r="H21" s="4">
        <v>1249275</v>
      </c>
      <c r="I21">
        <v>1448900</v>
      </c>
      <c r="J21">
        <v>1577768</v>
      </c>
      <c r="K21">
        <v>1772068</v>
      </c>
      <c r="L21">
        <f>K21/G22</f>
        <v>2.3256645344518492</v>
      </c>
    </row>
    <row r="22" spans="3:12">
      <c r="C22" s="3" t="s">
        <v>16</v>
      </c>
      <c r="D22" s="4">
        <v>114603</v>
      </c>
      <c r="E22" s="4">
        <v>236532</v>
      </c>
      <c r="F22" s="4">
        <v>456711</v>
      </c>
      <c r="G22" s="4">
        <v>761962</v>
      </c>
      <c r="H22" s="4">
        <v>643516</v>
      </c>
      <c r="I22">
        <v>45675</v>
      </c>
      <c r="J22">
        <v>9664</v>
      </c>
      <c r="K22">
        <v>9628</v>
      </c>
    </row>
    <row r="23" spans="3:12">
      <c r="C23" s="3" t="s">
        <v>12</v>
      </c>
      <c r="D23" s="4">
        <v>226853</v>
      </c>
      <c r="E23" s="4">
        <v>277069</v>
      </c>
      <c r="F23" s="4">
        <v>289782</v>
      </c>
      <c r="G23" s="4">
        <v>307211</v>
      </c>
      <c r="H23" s="4">
        <v>266682</v>
      </c>
      <c r="I23" s="13">
        <f>H23*0.9</f>
        <v>240013.80000000002</v>
      </c>
      <c r="J23" s="13">
        <f t="shared" ref="J23:K23" si="0">I23*0.9</f>
        <v>216012.42</v>
      </c>
      <c r="K23" s="13">
        <f t="shared" si="0"/>
        <v>194411.17800000001</v>
      </c>
    </row>
    <row r="24" spans="3:12">
      <c r="C24" s="3" t="s">
        <v>34</v>
      </c>
      <c r="D24" s="4">
        <v>32414</v>
      </c>
      <c r="E24" s="4">
        <v>77658</v>
      </c>
      <c r="F24" s="4">
        <v>155738</v>
      </c>
      <c r="G24" s="4">
        <v>321824</v>
      </c>
      <c r="H24" s="18">
        <v>360600</v>
      </c>
      <c r="I24" s="18">
        <v>398371</v>
      </c>
      <c r="J24" s="18">
        <v>594495</v>
      </c>
      <c r="K24" s="18">
        <v>662128</v>
      </c>
    </row>
    <row r="25" spans="3:12">
      <c r="C25" s="6" t="s">
        <v>7</v>
      </c>
      <c r="D25" s="6">
        <f>(D21/D20)*100</f>
        <v>128.97887544662444</v>
      </c>
      <c r="E25" s="6">
        <f t="shared" ref="E25:H25" si="1">(E21/E20)*100</f>
        <v>99.102148824695561</v>
      </c>
      <c r="F25" s="6">
        <f t="shared" si="1"/>
        <v>98.122350359873593</v>
      </c>
      <c r="G25" s="6">
        <f t="shared" si="1"/>
        <v>120.86374048023767</v>
      </c>
      <c r="H25" s="6">
        <f t="shared" si="1"/>
        <v>195.43465643767726</v>
      </c>
    </row>
    <row r="26" spans="3:12">
      <c r="D26" s="8"/>
      <c r="E26" s="8"/>
      <c r="F26" s="8"/>
      <c r="G26" s="8"/>
      <c r="H26" s="8"/>
    </row>
    <row r="27" spans="3:12">
      <c r="D27" s="8"/>
      <c r="E27" s="8"/>
      <c r="F27" s="8"/>
      <c r="G27" s="8"/>
      <c r="H27" s="8"/>
    </row>
    <row r="28" spans="3:12">
      <c r="C28" s="5" t="s">
        <v>18</v>
      </c>
    </row>
    <row r="29" spans="3:12">
      <c r="C29" s="2" t="s">
        <v>0</v>
      </c>
      <c r="D29" s="2">
        <v>1</v>
      </c>
      <c r="E29" s="2">
        <v>2</v>
      </c>
      <c r="F29" s="2">
        <v>4</v>
      </c>
      <c r="G29" s="2">
        <v>8</v>
      </c>
      <c r="H29" s="2">
        <v>16</v>
      </c>
    </row>
    <row r="30" spans="3:12">
      <c r="C30" s="3" t="s">
        <v>14</v>
      </c>
      <c r="D30" s="4">
        <v>10</v>
      </c>
      <c r="E30" s="4">
        <v>9</v>
      </c>
      <c r="F30" s="4">
        <v>9</v>
      </c>
      <c r="G30" s="4">
        <v>11</v>
      </c>
      <c r="H30" s="4">
        <v>22</v>
      </c>
    </row>
    <row r="31" spans="3:12">
      <c r="C31" s="3" t="s">
        <v>15</v>
      </c>
      <c r="D31" s="4">
        <v>8</v>
      </c>
      <c r="E31" s="4">
        <v>9</v>
      </c>
      <c r="F31" s="4">
        <v>9</v>
      </c>
      <c r="G31" s="4">
        <v>10</v>
      </c>
      <c r="H31" s="4">
        <v>13</v>
      </c>
    </row>
    <row r="32" spans="3:12">
      <c r="C32" s="3" t="s">
        <v>16</v>
      </c>
      <c r="D32">
        <v>7</v>
      </c>
      <c r="E32">
        <v>8</v>
      </c>
      <c r="F32">
        <v>9</v>
      </c>
      <c r="G32">
        <v>11</v>
      </c>
      <c r="H32">
        <v>25</v>
      </c>
    </row>
    <row r="33" spans="3:17">
      <c r="C33" s="3" t="s">
        <v>12</v>
      </c>
      <c r="D33">
        <v>5</v>
      </c>
      <c r="E33">
        <v>7</v>
      </c>
      <c r="F33">
        <v>13</v>
      </c>
      <c r="G33">
        <v>24</v>
      </c>
      <c r="H33">
        <v>56</v>
      </c>
    </row>
    <row r="34" spans="3:17">
      <c r="C34" s="3" t="s">
        <v>34</v>
      </c>
      <c r="D34">
        <v>24</v>
      </c>
      <c r="E34">
        <v>26</v>
      </c>
      <c r="F34">
        <v>26</v>
      </c>
      <c r="G34">
        <v>26</v>
      </c>
      <c r="H34">
        <v>44</v>
      </c>
    </row>
    <row r="36" spans="3:17">
      <c r="C36" s="5" t="s">
        <v>21</v>
      </c>
    </row>
    <row r="37" spans="3:17">
      <c r="C37" s="3" t="s">
        <v>0</v>
      </c>
      <c r="D37" s="2">
        <v>1</v>
      </c>
      <c r="E37" s="2">
        <v>2</v>
      </c>
      <c r="F37" s="2">
        <v>4</v>
      </c>
      <c r="G37" s="2">
        <v>8</v>
      </c>
      <c r="H37" s="2">
        <v>16</v>
      </c>
    </row>
    <row r="38" spans="3:17">
      <c r="C38" s="3" t="s">
        <v>22</v>
      </c>
      <c r="D38">
        <v>14</v>
      </c>
      <c r="E38">
        <v>12</v>
      </c>
      <c r="F38">
        <v>12</v>
      </c>
      <c r="G38">
        <v>17</v>
      </c>
      <c r="H38">
        <v>41</v>
      </c>
    </row>
    <row r="39" spans="3:17">
      <c r="C39" s="3" t="s">
        <v>15</v>
      </c>
      <c r="D39">
        <v>11</v>
      </c>
      <c r="E39">
        <v>11</v>
      </c>
      <c r="F39">
        <v>12</v>
      </c>
      <c r="G39">
        <v>12</v>
      </c>
      <c r="H39">
        <v>17</v>
      </c>
      <c r="I39">
        <v>30</v>
      </c>
      <c r="J39">
        <v>42</v>
      </c>
      <c r="K39">
        <v>61</v>
      </c>
    </row>
    <row r="40" spans="3:17">
      <c r="C40" s="3" t="s">
        <v>23</v>
      </c>
      <c r="D40">
        <v>10</v>
      </c>
      <c r="E40">
        <v>10</v>
      </c>
      <c r="F40">
        <v>12</v>
      </c>
      <c r="G40">
        <v>14</v>
      </c>
      <c r="H40">
        <v>55</v>
      </c>
    </row>
    <row r="41" spans="3:17">
      <c r="C41" s="3" t="s">
        <v>12</v>
      </c>
      <c r="D41">
        <v>6</v>
      </c>
      <c r="E41">
        <v>12</v>
      </c>
      <c r="F41">
        <v>24</v>
      </c>
      <c r="G41">
        <v>44</v>
      </c>
      <c r="H41">
        <v>99</v>
      </c>
    </row>
    <row r="42" spans="3:17">
      <c r="C42" s="3" t="s">
        <v>34</v>
      </c>
      <c r="D42">
        <v>34</v>
      </c>
      <c r="E42">
        <v>34</v>
      </c>
      <c r="F42">
        <v>35</v>
      </c>
      <c r="G42">
        <v>37</v>
      </c>
      <c r="H42">
        <v>65</v>
      </c>
      <c r="I42">
        <v>80</v>
      </c>
      <c r="J42">
        <v>88</v>
      </c>
      <c r="K42">
        <v>98</v>
      </c>
    </row>
    <row r="43" spans="3:17">
      <c r="D43" s="8"/>
      <c r="E43" s="8"/>
      <c r="F43" s="8"/>
      <c r="G43" s="8"/>
      <c r="H43" s="8"/>
    </row>
    <row r="44" spans="3:17">
      <c r="C44" s="5" t="s">
        <v>2</v>
      </c>
      <c r="D44" s="8"/>
      <c r="E44" s="8"/>
      <c r="F44" s="8"/>
      <c r="G44" s="8"/>
      <c r="H44" s="8"/>
    </row>
    <row r="45" spans="3:17">
      <c r="C45" s="2" t="s">
        <v>0</v>
      </c>
      <c r="D45" s="2">
        <v>1</v>
      </c>
      <c r="E45" s="2">
        <v>2</v>
      </c>
      <c r="F45" s="2">
        <v>4</v>
      </c>
      <c r="G45" s="2">
        <v>8</v>
      </c>
      <c r="H45" s="2">
        <v>16</v>
      </c>
    </row>
    <row r="46" spans="3:17">
      <c r="C46" s="3" t="s">
        <v>14</v>
      </c>
      <c r="D46" s="4">
        <v>52</v>
      </c>
      <c r="E46" s="4">
        <v>136</v>
      </c>
      <c r="F46" s="4">
        <v>255</v>
      </c>
      <c r="G46" s="4">
        <v>492</v>
      </c>
      <c r="H46" s="4">
        <v>1199</v>
      </c>
      <c r="N46" t="str">
        <f>C47</f>
        <v>cLSM</v>
      </c>
      <c r="O46">
        <f>H31</f>
        <v>13</v>
      </c>
      <c r="P46">
        <f>H39-H31</f>
        <v>4</v>
      </c>
      <c r="Q46" s="4">
        <f>H55-H39</f>
        <v>1762</v>
      </c>
    </row>
    <row r="47" spans="3:17">
      <c r="C47" s="3" t="s">
        <v>15</v>
      </c>
      <c r="D47" s="4">
        <v>47</v>
      </c>
      <c r="E47" s="4">
        <v>132</v>
      </c>
      <c r="F47" s="4">
        <v>246</v>
      </c>
      <c r="G47" s="4">
        <v>478</v>
      </c>
      <c r="H47" s="4">
        <v>1192</v>
      </c>
      <c r="N47" t="str">
        <f>C48</f>
        <v>HyperLevelDB</v>
      </c>
      <c r="O47">
        <f>H32</f>
        <v>25</v>
      </c>
      <c r="P47">
        <f>H40-H32</f>
        <v>30</v>
      </c>
      <c r="Q47" s="4">
        <f>H56-H40</f>
        <v>1919</v>
      </c>
    </row>
    <row r="48" spans="3:17">
      <c r="C48" s="3" t="s">
        <v>16</v>
      </c>
      <c r="D48">
        <v>30</v>
      </c>
      <c r="E48">
        <v>124</v>
      </c>
      <c r="F48">
        <v>248</v>
      </c>
      <c r="G48">
        <v>458</v>
      </c>
      <c r="H48">
        <v>1244</v>
      </c>
      <c r="N48" t="str">
        <f>C46</f>
        <v>LevelDB</v>
      </c>
      <c r="O48">
        <f>H30</f>
        <v>22</v>
      </c>
      <c r="P48">
        <f>H38-H30</f>
        <v>19</v>
      </c>
      <c r="Q48" s="4">
        <f>H54-H38</f>
        <v>1707</v>
      </c>
    </row>
    <row r="49" spans="1:17">
      <c r="C49" s="3" t="s">
        <v>12</v>
      </c>
      <c r="D49">
        <v>43</v>
      </c>
      <c r="E49">
        <v>124</v>
      </c>
      <c r="F49">
        <v>245</v>
      </c>
      <c r="G49">
        <v>458</v>
      </c>
      <c r="H49">
        <v>1199</v>
      </c>
      <c r="N49" t="str">
        <f>C49</f>
        <v>bLSM</v>
      </c>
      <c r="O49">
        <f>H33</f>
        <v>56</v>
      </c>
      <c r="P49">
        <f>H41-H33</f>
        <v>43</v>
      </c>
      <c r="Q49">
        <f>H57-H41</f>
        <v>1678</v>
      </c>
    </row>
    <row r="50" spans="1:17">
      <c r="C50" s="3" t="s">
        <v>34</v>
      </c>
      <c r="D50">
        <v>55</v>
      </c>
      <c r="E50">
        <v>140</v>
      </c>
      <c r="F50">
        <v>270</v>
      </c>
      <c r="G50">
        <v>501</v>
      </c>
      <c r="H50">
        <v>1207</v>
      </c>
      <c r="N50" t="s">
        <v>34</v>
      </c>
      <c r="O50">
        <f>H34</f>
        <v>44</v>
      </c>
      <c r="P50">
        <f>H42-H34</f>
        <v>21</v>
      </c>
      <c r="Q50">
        <f>H58-H42</f>
        <v>1724</v>
      </c>
    </row>
    <row r="51" spans="1:17">
      <c r="D51" s="8"/>
      <c r="E51" s="8"/>
      <c r="F51" s="8"/>
      <c r="G51" s="8"/>
      <c r="H51" s="8"/>
    </row>
    <row r="52" spans="1:17">
      <c r="C52" s="5" t="s">
        <v>3</v>
      </c>
      <c r="D52" s="8"/>
      <c r="E52" s="8"/>
      <c r="F52" s="8"/>
      <c r="G52" s="8"/>
      <c r="H52" s="8"/>
    </row>
    <row r="53" spans="1:17">
      <c r="C53" s="2" t="s">
        <v>0</v>
      </c>
      <c r="D53" s="2">
        <v>1</v>
      </c>
      <c r="E53" s="2">
        <v>2</v>
      </c>
      <c r="F53" s="2">
        <v>4</v>
      </c>
      <c r="G53" s="2">
        <v>8</v>
      </c>
      <c r="H53" s="2">
        <v>16</v>
      </c>
    </row>
    <row r="54" spans="1:17">
      <c r="C54" s="3" t="s">
        <v>14</v>
      </c>
      <c r="D54" s="4">
        <v>97</v>
      </c>
      <c r="E54" s="4">
        <v>200</v>
      </c>
      <c r="F54" s="4">
        <v>342</v>
      </c>
      <c r="G54" s="4">
        <v>632</v>
      </c>
      <c r="H54" s="4">
        <v>1748</v>
      </c>
    </row>
    <row r="55" spans="1:17">
      <c r="C55" s="3" t="s">
        <v>15</v>
      </c>
      <c r="D55" s="4">
        <v>88</v>
      </c>
      <c r="E55" s="4">
        <v>227</v>
      </c>
      <c r="F55" s="4">
        <v>372</v>
      </c>
      <c r="G55" s="4">
        <v>683</v>
      </c>
      <c r="H55" s="4">
        <v>1779</v>
      </c>
    </row>
    <row r="56" spans="1:17">
      <c r="C56" s="3" t="s">
        <v>16</v>
      </c>
      <c r="D56">
        <v>45</v>
      </c>
      <c r="E56">
        <v>220</v>
      </c>
      <c r="F56">
        <v>338</v>
      </c>
      <c r="G56">
        <v>610</v>
      </c>
      <c r="H56">
        <v>1974</v>
      </c>
    </row>
    <row r="57" spans="1:17">
      <c r="C57" s="3" t="s">
        <v>12</v>
      </c>
      <c r="D57">
        <v>55</v>
      </c>
      <c r="E57">
        <v>195</v>
      </c>
      <c r="F57">
        <v>436</v>
      </c>
      <c r="G57">
        <v>809</v>
      </c>
      <c r="H57">
        <v>1777</v>
      </c>
    </row>
    <row r="58" spans="1:17">
      <c r="C58" s="3" t="s">
        <v>34</v>
      </c>
      <c r="D58">
        <v>377</v>
      </c>
      <c r="E58">
        <v>207</v>
      </c>
      <c r="F58">
        <v>350</v>
      </c>
      <c r="G58">
        <v>641</v>
      </c>
      <c r="H58">
        <v>1789</v>
      </c>
    </row>
    <row r="64" spans="1:17">
      <c r="A64" s="18"/>
      <c r="B64" s="18"/>
      <c r="C64" s="18"/>
      <c r="D64" s="18"/>
      <c r="E64" s="18"/>
      <c r="F64" s="18"/>
      <c r="G64" s="18"/>
      <c r="H64" s="18"/>
    </row>
    <row r="65" spans="1:11">
      <c r="A65" s="18"/>
      <c r="B65" s="18"/>
      <c r="C65" s="5" t="s">
        <v>36</v>
      </c>
      <c r="D65" s="18"/>
      <c r="E65" s="18"/>
      <c r="F65" s="18"/>
      <c r="G65" s="18"/>
      <c r="H65" s="18"/>
    </row>
    <row r="66" spans="1:11">
      <c r="A66" s="18"/>
      <c r="B66" s="18"/>
      <c r="C66" s="18"/>
      <c r="D66" s="18"/>
      <c r="E66" s="18"/>
      <c r="F66" s="18"/>
      <c r="G66" s="18"/>
      <c r="H66" s="18"/>
    </row>
    <row r="67" spans="1:11">
      <c r="A67" s="18"/>
      <c r="B67" s="18"/>
      <c r="C67" s="3" t="s">
        <v>14</v>
      </c>
      <c r="D67" s="19">
        <v>79765</v>
      </c>
      <c r="E67" s="19">
        <v>225984</v>
      </c>
      <c r="F67" s="19">
        <v>450297</v>
      </c>
      <c r="G67" s="19">
        <v>704193</v>
      </c>
      <c r="H67" s="19">
        <v>639229</v>
      </c>
    </row>
    <row r="68" spans="1:11">
      <c r="A68" s="18"/>
      <c r="B68" s="18"/>
      <c r="C68" s="3"/>
      <c r="D68" s="19">
        <v>14</v>
      </c>
      <c r="E68" s="19">
        <v>12</v>
      </c>
      <c r="F68" s="19">
        <v>12</v>
      </c>
      <c r="G68" s="19">
        <v>17</v>
      </c>
      <c r="H68" s="19">
        <v>41</v>
      </c>
    </row>
    <row r="69" spans="1:11">
      <c r="A69" s="18"/>
      <c r="B69" s="18"/>
      <c r="C69" s="3" t="s">
        <v>15</v>
      </c>
      <c r="D69" s="20">
        <v>102880</v>
      </c>
      <c r="E69" s="20">
        <v>223955</v>
      </c>
      <c r="F69" s="20">
        <v>441842</v>
      </c>
      <c r="G69" s="20">
        <v>851114</v>
      </c>
      <c r="H69" s="20">
        <v>1249275</v>
      </c>
      <c r="I69" s="20">
        <v>1448900</v>
      </c>
      <c r="J69" s="20">
        <v>1577768</v>
      </c>
      <c r="K69" s="20">
        <v>1772068</v>
      </c>
    </row>
    <row r="70" spans="1:11">
      <c r="A70" s="18"/>
      <c r="B70" s="18"/>
      <c r="C70" s="3"/>
      <c r="D70" s="20">
        <v>11</v>
      </c>
      <c r="E70" s="20">
        <v>11</v>
      </c>
      <c r="F70" s="20">
        <v>12</v>
      </c>
      <c r="G70" s="20">
        <v>12</v>
      </c>
      <c r="H70" s="20">
        <v>17</v>
      </c>
      <c r="I70" s="20">
        <v>30</v>
      </c>
      <c r="J70" s="20">
        <v>42</v>
      </c>
      <c r="K70" s="20">
        <v>61</v>
      </c>
    </row>
    <row r="71" spans="1:11">
      <c r="A71" s="18"/>
      <c r="B71" s="18"/>
      <c r="C71" s="3" t="s">
        <v>16</v>
      </c>
      <c r="D71" s="19">
        <v>114603</v>
      </c>
      <c r="E71" s="19">
        <v>236532</v>
      </c>
      <c r="F71" s="19">
        <v>456711</v>
      </c>
      <c r="G71" s="19">
        <v>761962</v>
      </c>
      <c r="H71" s="19">
        <v>643516</v>
      </c>
    </row>
    <row r="72" spans="1:11">
      <c r="A72" s="18"/>
      <c r="B72" s="18"/>
      <c r="C72" s="3"/>
      <c r="D72" s="19">
        <v>10</v>
      </c>
      <c r="E72" s="19">
        <v>10</v>
      </c>
      <c r="F72" s="19">
        <v>12</v>
      </c>
      <c r="G72" s="19">
        <v>14</v>
      </c>
      <c r="H72" s="19">
        <v>55</v>
      </c>
    </row>
    <row r="73" spans="1:11">
      <c r="A73" s="18"/>
      <c r="B73" s="18"/>
      <c r="C73" s="3" t="s">
        <v>12</v>
      </c>
      <c r="D73" s="20">
        <v>226853</v>
      </c>
      <c r="E73" s="20">
        <v>277069</v>
      </c>
      <c r="F73" s="20">
        <v>289782</v>
      </c>
      <c r="G73" s="20">
        <v>307211</v>
      </c>
      <c r="H73" s="20">
        <v>266682</v>
      </c>
    </row>
    <row r="74" spans="1:11">
      <c r="A74" s="18"/>
      <c r="B74" s="18"/>
      <c r="C74" s="3"/>
      <c r="D74" s="20">
        <v>6</v>
      </c>
      <c r="E74" s="20">
        <v>12</v>
      </c>
      <c r="F74" s="20">
        <v>24</v>
      </c>
      <c r="G74" s="20">
        <v>44</v>
      </c>
      <c r="H74" s="20">
        <v>99</v>
      </c>
    </row>
    <row r="75" spans="1:11">
      <c r="A75" s="18"/>
      <c r="B75" s="18"/>
      <c r="C75" s="3" t="s">
        <v>34</v>
      </c>
      <c r="D75" s="19">
        <v>32414</v>
      </c>
      <c r="E75" s="19">
        <v>77658</v>
      </c>
      <c r="F75" s="19">
        <v>155738</v>
      </c>
      <c r="G75" s="19">
        <v>321824</v>
      </c>
      <c r="H75" s="19">
        <v>360600</v>
      </c>
      <c r="I75" s="19">
        <v>398371</v>
      </c>
      <c r="J75" s="19">
        <v>594495</v>
      </c>
      <c r="K75" s="19">
        <v>662128</v>
      </c>
    </row>
    <row r="76" spans="1:11">
      <c r="A76" s="18"/>
      <c r="B76" s="18"/>
      <c r="C76" s="3"/>
      <c r="D76" s="19">
        <v>34</v>
      </c>
      <c r="E76" s="19">
        <v>34</v>
      </c>
      <c r="F76" s="19">
        <v>35</v>
      </c>
      <c r="G76" s="19">
        <v>37</v>
      </c>
      <c r="H76" s="19">
        <v>65</v>
      </c>
      <c r="I76" s="19">
        <v>80</v>
      </c>
      <c r="J76" s="19">
        <v>88</v>
      </c>
      <c r="K76" s="19">
        <v>98</v>
      </c>
    </row>
  </sheetData>
  <pageMargins left="0.7" right="0.7" top="0.75" bottom="0.75" header="0.3" footer="0.3"/>
  <pageSetup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B2:M70"/>
  <sheetViews>
    <sheetView zoomScale="80" zoomScaleNormal="80" workbookViewId="0">
      <selection activeCell="N8" sqref="N8"/>
    </sheetView>
  </sheetViews>
  <sheetFormatPr defaultColWidth="8.85546875" defaultRowHeight="15"/>
  <cols>
    <col min="3" max="3" width="19.7109375" customWidth="1"/>
  </cols>
  <sheetData>
    <row r="2" spans="3:3">
      <c r="C2" s="1"/>
    </row>
    <row r="17" spans="3:11">
      <c r="E17" t="s">
        <v>13</v>
      </c>
    </row>
    <row r="18" spans="3:11">
      <c r="C18" s="5" t="s">
        <v>1</v>
      </c>
    </row>
    <row r="19" spans="3:11">
      <c r="C19" s="2" t="s">
        <v>0</v>
      </c>
      <c r="D19" s="2">
        <v>1</v>
      </c>
      <c r="E19" s="2">
        <v>2</v>
      </c>
      <c r="F19" s="2">
        <v>4</v>
      </c>
      <c r="G19" s="2">
        <v>8</v>
      </c>
      <c r="H19" s="2">
        <v>16</v>
      </c>
    </row>
    <row r="20" spans="3:11">
      <c r="C20" s="3" t="s">
        <v>14</v>
      </c>
      <c r="D20" s="4">
        <v>44692</v>
      </c>
      <c r="E20" s="4">
        <v>62265</v>
      </c>
      <c r="F20" s="4">
        <v>112408</v>
      </c>
      <c r="G20" s="4">
        <v>138338</v>
      </c>
      <c r="H20" s="4">
        <v>153582</v>
      </c>
    </row>
    <row r="21" spans="3:11">
      <c r="C21" s="3" t="s">
        <v>15</v>
      </c>
      <c r="D21" s="4">
        <v>58822</v>
      </c>
      <c r="E21" s="4">
        <v>80299</v>
      </c>
      <c r="F21" s="4">
        <v>146180</v>
      </c>
      <c r="G21" s="4">
        <v>291002</v>
      </c>
      <c r="H21" s="4">
        <v>391056</v>
      </c>
    </row>
    <row r="22" spans="3:11">
      <c r="C22" s="3" t="s">
        <v>19</v>
      </c>
      <c r="D22">
        <v>56415</v>
      </c>
      <c r="E22">
        <v>74294</v>
      </c>
      <c r="F22">
        <v>113933</v>
      </c>
      <c r="G22">
        <v>124878</v>
      </c>
      <c r="H22">
        <v>139268</v>
      </c>
    </row>
    <row r="23" spans="3:11">
      <c r="H23">
        <f>H21/H20</f>
        <v>2.54623588701801</v>
      </c>
    </row>
    <row r="26" spans="3:11">
      <c r="C26" s="5" t="s">
        <v>18</v>
      </c>
    </row>
    <row r="27" spans="3:11">
      <c r="C27" s="2" t="s">
        <v>0</v>
      </c>
      <c r="D27" s="2">
        <v>1</v>
      </c>
      <c r="E27" s="2">
        <v>2</v>
      </c>
      <c r="F27" s="2">
        <v>4</v>
      </c>
      <c r="G27" s="2">
        <v>8</v>
      </c>
      <c r="H27" s="2">
        <v>16</v>
      </c>
    </row>
    <row r="28" spans="3:11">
      <c r="C28" s="3" t="s">
        <v>14</v>
      </c>
      <c r="D28" s="4">
        <v>12</v>
      </c>
      <c r="E28" s="4">
        <v>11</v>
      </c>
      <c r="F28" s="4">
        <v>15</v>
      </c>
      <c r="G28" s="4">
        <v>25</v>
      </c>
      <c r="H28" s="4">
        <v>36</v>
      </c>
    </row>
    <row r="29" spans="3:11">
      <c r="C29" s="3" t="s">
        <v>15</v>
      </c>
      <c r="D29" s="4">
        <v>15</v>
      </c>
      <c r="E29" s="4">
        <v>12</v>
      </c>
      <c r="F29" s="4">
        <v>13</v>
      </c>
      <c r="G29" s="4">
        <v>13</v>
      </c>
      <c r="H29" s="4">
        <v>17</v>
      </c>
      <c r="K29" s="10"/>
    </row>
    <row r="30" spans="3:11">
      <c r="C30" s="3" t="s">
        <v>19</v>
      </c>
      <c r="D30" s="4">
        <v>15</v>
      </c>
      <c r="E30" s="4">
        <v>13</v>
      </c>
      <c r="F30" s="4">
        <v>15</v>
      </c>
      <c r="G30" s="4">
        <v>23</v>
      </c>
      <c r="H30" s="4">
        <v>33</v>
      </c>
    </row>
    <row r="31" spans="3:11">
      <c r="D31" s="4"/>
      <c r="E31" s="4"/>
      <c r="F31" s="4"/>
      <c r="G31" s="4"/>
      <c r="H31" s="4"/>
    </row>
    <row r="32" spans="3:11">
      <c r="C32" s="5" t="s">
        <v>21</v>
      </c>
      <c r="D32" s="8"/>
      <c r="E32" s="8"/>
      <c r="F32" s="8"/>
      <c r="G32" s="8"/>
      <c r="H32" s="8"/>
    </row>
    <row r="33" spans="3:13">
      <c r="C33" s="2" t="s">
        <v>0</v>
      </c>
      <c r="D33" s="2">
        <v>1</v>
      </c>
      <c r="E33" s="2">
        <v>2</v>
      </c>
      <c r="F33" s="2">
        <v>4</v>
      </c>
      <c r="G33" s="2">
        <v>8</v>
      </c>
      <c r="H33" s="2">
        <v>16</v>
      </c>
    </row>
    <row r="34" spans="3:13">
      <c r="C34" s="3" t="s">
        <v>14</v>
      </c>
      <c r="D34">
        <v>16</v>
      </c>
      <c r="E34">
        <v>27</v>
      </c>
      <c r="F34">
        <v>27</v>
      </c>
      <c r="G34">
        <v>34</v>
      </c>
      <c r="H34">
        <v>85</v>
      </c>
    </row>
    <row r="35" spans="3:13">
      <c r="C35" s="3" t="s">
        <v>15</v>
      </c>
      <c r="D35">
        <v>20</v>
      </c>
      <c r="E35">
        <v>21</v>
      </c>
      <c r="F35">
        <v>22</v>
      </c>
      <c r="G35">
        <v>31</v>
      </c>
      <c r="H35">
        <v>35</v>
      </c>
    </row>
    <row r="36" spans="3:13">
      <c r="C36" s="3" t="s">
        <v>19</v>
      </c>
      <c r="D36">
        <v>20</v>
      </c>
      <c r="E36">
        <v>20</v>
      </c>
      <c r="F36">
        <v>25</v>
      </c>
      <c r="G36">
        <v>32</v>
      </c>
      <c r="H36">
        <v>59</v>
      </c>
    </row>
    <row r="37" spans="3:13">
      <c r="K37" t="str">
        <f>C29</f>
        <v>cLSM</v>
      </c>
      <c r="L37">
        <f>H29</f>
        <v>17</v>
      </c>
      <c r="M37">
        <f>H35-H29</f>
        <v>18</v>
      </c>
    </row>
    <row r="38" spans="3:13">
      <c r="K38" t="str">
        <f>C28</f>
        <v>LevelDB</v>
      </c>
      <c r="L38">
        <f>H28</f>
        <v>36</v>
      </c>
      <c r="M38">
        <f>H34-H28</f>
        <v>49</v>
      </c>
    </row>
    <row r="39" spans="3:13">
      <c r="C39" s="5" t="s">
        <v>2</v>
      </c>
    </row>
    <row r="40" spans="3:13">
      <c r="C40" s="2" t="s">
        <v>0</v>
      </c>
      <c r="D40" s="2">
        <v>1</v>
      </c>
      <c r="E40" s="2">
        <v>2</v>
      </c>
      <c r="F40" s="2">
        <v>4</v>
      </c>
      <c r="G40" s="2">
        <v>8</v>
      </c>
      <c r="H40" s="2">
        <v>16</v>
      </c>
    </row>
    <row r="41" spans="3:13">
      <c r="C41" s="3" t="s">
        <v>14</v>
      </c>
      <c r="D41" s="4">
        <v>186</v>
      </c>
      <c r="E41" s="4">
        <v>200</v>
      </c>
      <c r="F41" s="4">
        <v>435</v>
      </c>
      <c r="G41" s="4">
        <v>1029</v>
      </c>
      <c r="H41" s="4">
        <v>1968</v>
      </c>
    </row>
    <row r="42" spans="3:13">
      <c r="C42" s="3" t="s">
        <v>15</v>
      </c>
      <c r="D42" s="4">
        <v>237</v>
      </c>
      <c r="E42" s="4">
        <v>240</v>
      </c>
      <c r="F42" s="4">
        <v>434</v>
      </c>
      <c r="G42" s="4">
        <v>887</v>
      </c>
      <c r="H42" s="4">
        <v>1384</v>
      </c>
    </row>
    <row r="43" spans="3:13">
      <c r="C43" s="3" t="s">
        <v>19</v>
      </c>
      <c r="D43" s="4">
        <v>236</v>
      </c>
      <c r="E43" s="4">
        <v>239</v>
      </c>
      <c r="F43" s="4">
        <v>441</v>
      </c>
      <c r="G43" s="4">
        <v>929</v>
      </c>
      <c r="H43" s="4">
        <v>1785</v>
      </c>
    </row>
    <row r="47" spans="3:13">
      <c r="C47" s="5" t="s">
        <v>3</v>
      </c>
    </row>
    <row r="48" spans="3:13">
      <c r="C48" s="2" t="s">
        <v>0</v>
      </c>
      <c r="D48" s="2">
        <v>1</v>
      </c>
      <c r="E48" s="2">
        <v>2</v>
      </c>
      <c r="F48" s="2">
        <v>4</v>
      </c>
      <c r="G48" s="2">
        <v>8</v>
      </c>
      <c r="H48" s="2">
        <v>16</v>
      </c>
    </row>
    <row r="49" spans="2:8">
      <c r="C49" s="3" t="s">
        <v>14</v>
      </c>
      <c r="D49" s="4">
        <v>236</v>
      </c>
      <c r="E49" s="4">
        <v>251</v>
      </c>
      <c r="F49" s="4">
        <v>562</v>
      </c>
      <c r="G49" s="4">
        <v>1393</v>
      </c>
      <c r="H49" s="4">
        <v>2867</v>
      </c>
    </row>
    <row r="50" spans="2:8">
      <c r="C50" s="3" t="s">
        <v>15</v>
      </c>
      <c r="D50" s="4">
        <v>301</v>
      </c>
      <c r="E50" s="4">
        <v>309</v>
      </c>
      <c r="F50" s="4">
        <v>554</v>
      </c>
      <c r="G50" s="4">
        <v>1073</v>
      </c>
      <c r="H50" s="4">
        <v>1875</v>
      </c>
    </row>
    <row r="51" spans="2:8">
      <c r="C51" s="3" t="s">
        <v>19</v>
      </c>
      <c r="D51" s="4">
        <v>299</v>
      </c>
      <c r="E51" s="4">
        <v>300</v>
      </c>
      <c r="F51" s="4">
        <v>570</v>
      </c>
      <c r="G51" s="4">
        <v>1258</v>
      </c>
      <c r="H51" s="4">
        <v>2600</v>
      </c>
    </row>
    <row r="59" spans="2:8">
      <c r="B59" t="s">
        <v>8</v>
      </c>
    </row>
    <row r="63" spans="2:8">
      <c r="C63" s="18"/>
      <c r="D63" s="18"/>
      <c r="E63" s="18"/>
      <c r="F63" s="18"/>
      <c r="G63" s="18"/>
      <c r="H63" s="18"/>
    </row>
    <row r="64" spans="2:8">
      <c r="C64" s="18"/>
      <c r="D64" s="18"/>
      <c r="E64" s="18"/>
      <c r="F64" s="18"/>
      <c r="G64" s="18"/>
      <c r="H64" s="18"/>
    </row>
    <row r="65" spans="3:8">
      <c r="C65" s="5" t="s">
        <v>36</v>
      </c>
      <c r="D65" s="18"/>
      <c r="E65" s="18"/>
      <c r="F65" s="18"/>
      <c r="G65" s="18"/>
      <c r="H65" s="18"/>
    </row>
    <row r="66" spans="3:8">
      <c r="C66" s="18"/>
      <c r="D66" s="18"/>
      <c r="E66" s="18"/>
      <c r="F66" s="18"/>
      <c r="G66" s="18"/>
      <c r="H66" s="18"/>
    </row>
    <row r="67" spans="3:8">
      <c r="C67" s="3" t="s">
        <v>14</v>
      </c>
      <c r="D67" s="19">
        <v>44692</v>
      </c>
      <c r="E67" s="19">
        <v>62265</v>
      </c>
      <c r="F67" s="19">
        <v>112408</v>
      </c>
      <c r="G67" s="19">
        <v>138338</v>
      </c>
      <c r="H67" s="19">
        <v>153582</v>
      </c>
    </row>
    <row r="68" spans="3:8">
      <c r="C68" s="3"/>
      <c r="D68" s="19">
        <v>16</v>
      </c>
      <c r="E68" s="19">
        <v>27</v>
      </c>
      <c r="F68" s="19">
        <v>27</v>
      </c>
      <c r="G68" s="19">
        <v>34</v>
      </c>
      <c r="H68" s="19">
        <v>85</v>
      </c>
    </row>
    <row r="69" spans="3:8">
      <c r="C69" s="3" t="s">
        <v>15</v>
      </c>
      <c r="D69" s="4">
        <v>58822</v>
      </c>
      <c r="E69" s="4">
        <v>80299</v>
      </c>
      <c r="F69" s="4">
        <v>146180</v>
      </c>
      <c r="G69" s="4">
        <v>291002</v>
      </c>
      <c r="H69" s="4">
        <v>391056</v>
      </c>
    </row>
    <row r="70" spans="3:8">
      <c r="C70" s="3"/>
      <c r="D70" s="18">
        <v>20</v>
      </c>
      <c r="E70" s="18">
        <v>21</v>
      </c>
      <c r="F70" s="18">
        <v>22</v>
      </c>
      <c r="G70" s="18">
        <v>31</v>
      </c>
      <c r="H70" s="18">
        <v>35</v>
      </c>
    </row>
  </sheetData>
  <pageMargins left="0.7" right="0.7" top="0.75" bottom="0.75" header="0.3" footer="0.3"/>
  <pageSetup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B2:K47"/>
  <sheetViews>
    <sheetView topLeftCell="E16" workbookViewId="0">
      <selection activeCell="P57" sqref="P57"/>
    </sheetView>
  </sheetViews>
  <sheetFormatPr defaultColWidth="8.85546875" defaultRowHeight="15"/>
  <cols>
    <col min="3" max="3" width="26.42578125" customWidth="1"/>
  </cols>
  <sheetData>
    <row r="2" spans="3:3">
      <c r="C2" s="1"/>
    </row>
    <row r="24" spans="2:11">
      <c r="B24" s="8"/>
      <c r="C24" t="s">
        <v>4</v>
      </c>
      <c r="E24" t="s">
        <v>9</v>
      </c>
    </row>
    <row r="25" spans="2:11">
      <c r="B25" s="8"/>
      <c r="C25" s="5" t="s">
        <v>1</v>
      </c>
    </row>
    <row r="26" spans="2:11">
      <c r="B26" s="8"/>
      <c r="C26" s="2" t="s">
        <v>10</v>
      </c>
      <c r="D26" s="2">
        <v>1</v>
      </c>
      <c r="E26" s="2">
        <v>16</v>
      </c>
      <c r="F26" s="2">
        <v>32</v>
      </c>
      <c r="G26" s="2">
        <v>64</v>
      </c>
      <c r="H26" s="2">
        <v>128</v>
      </c>
      <c r="I26" s="2">
        <v>256</v>
      </c>
      <c r="J26" s="2">
        <v>512</v>
      </c>
    </row>
    <row r="27" spans="2:11">
      <c r="B27" s="8"/>
      <c r="C27" s="3" t="s">
        <v>14</v>
      </c>
      <c r="D27" s="4">
        <v>102819</v>
      </c>
      <c r="E27" s="4">
        <v>138660</v>
      </c>
      <c r="F27" s="4">
        <v>136284</v>
      </c>
      <c r="G27" s="4">
        <v>147368</v>
      </c>
      <c r="H27" s="4">
        <v>141410</v>
      </c>
      <c r="I27" s="4">
        <v>137262</v>
      </c>
      <c r="J27" s="4">
        <v>136775</v>
      </c>
    </row>
    <row r="28" spans="2:11">
      <c r="B28" s="8"/>
      <c r="C28" s="3" t="s">
        <v>15</v>
      </c>
      <c r="D28" s="4">
        <v>295579</v>
      </c>
      <c r="E28" s="4">
        <v>331837</v>
      </c>
      <c r="F28" s="4">
        <v>390513</v>
      </c>
      <c r="G28" s="4">
        <v>454502</v>
      </c>
      <c r="H28" s="4">
        <v>508223</v>
      </c>
      <c r="I28" s="4">
        <v>537163</v>
      </c>
      <c r="J28" s="4">
        <v>545682</v>
      </c>
    </row>
    <row r="29" spans="2:11">
      <c r="B29" s="8"/>
      <c r="C29" s="6"/>
      <c r="D29" s="6"/>
      <c r="E29" s="6"/>
      <c r="F29" s="6"/>
      <c r="G29" s="6"/>
      <c r="H29" s="6"/>
      <c r="I29" s="6"/>
      <c r="J29" s="6"/>
    </row>
    <row r="30" spans="2:11">
      <c r="B30" s="8"/>
      <c r="C30" s="9"/>
      <c r="D30" s="9"/>
      <c r="E30" s="6"/>
      <c r="F30" s="6"/>
      <c r="G30" s="6"/>
      <c r="H30" s="9"/>
      <c r="I30" s="9"/>
      <c r="J30" s="9"/>
      <c r="K30" s="8"/>
    </row>
    <row r="31" spans="2:11">
      <c r="B31" s="8"/>
      <c r="C31" s="9"/>
      <c r="D31" s="9"/>
      <c r="E31" s="9"/>
      <c r="F31" s="9"/>
      <c r="G31" s="9"/>
      <c r="H31" s="9"/>
      <c r="I31" s="9"/>
      <c r="J31" s="9"/>
      <c r="K31" s="8"/>
    </row>
    <row r="32" spans="2:11">
      <c r="C32" t="s">
        <v>4</v>
      </c>
      <c r="E32" t="s">
        <v>11</v>
      </c>
    </row>
    <row r="33" spans="2:11">
      <c r="C33" s="5" t="s">
        <v>1</v>
      </c>
    </row>
    <row r="34" spans="2:11">
      <c r="C34" s="2" t="s">
        <v>10</v>
      </c>
      <c r="D34" s="2">
        <v>1</v>
      </c>
      <c r="E34" s="2">
        <v>16</v>
      </c>
      <c r="F34" s="2">
        <v>32</v>
      </c>
      <c r="G34" s="2">
        <v>64</v>
      </c>
      <c r="H34" s="2">
        <v>128</v>
      </c>
      <c r="I34" s="2">
        <v>256</v>
      </c>
      <c r="J34" s="2">
        <v>512</v>
      </c>
    </row>
    <row r="35" spans="2:11">
      <c r="C35" s="3" t="s">
        <v>14</v>
      </c>
      <c r="D35" s="4">
        <v>109041</v>
      </c>
      <c r="E35" s="4">
        <v>156160</v>
      </c>
      <c r="F35" s="4">
        <v>159538</v>
      </c>
      <c r="G35" s="4">
        <v>162641</v>
      </c>
      <c r="H35" s="4">
        <v>161286</v>
      </c>
      <c r="I35" s="4">
        <v>157547</v>
      </c>
      <c r="J35" s="4">
        <v>154692</v>
      </c>
    </row>
    <row r="36" spans="2:11">
      <c r="C36" s="3" t="s">
        <v>15</v>
      </c>
      <c r="D36" s="4">
        <v>533954</v>
      </c>
      <c r="E36" s="4">
        <v>563804</v>
      </c>
      <c r="F36" s="4">
        <v>617212</v>
      </c>
      <c r="G36" s="4">
        <v>664007</v>
      </c>
      <c r="H36" s="4">
        <v>705261</v>
      </c>
      <c r="I36" s="4">
        <v>727265</v>
      </c>
      <c r="J36" s="4">
        <v>707607</v>
      </c>
    </row>
    <row r="37" spans="2:11">
      <c r="C37" s="6"/>
      <c r="D37" s="6"/>
      <c r="E37" s="6"/>
      <c r="F37" s="6"/>
      <c r="G37" s="6"/>
      <c r="H37" s="6"/>
      <c r="I37" s="6"/>
      <c r="J37" s="6"/>
    </row>
    <row r="38" spans="2:11">
      <c r="B38" s="8"/>
      <c r="C38" s="9"/>
      <c r="D38" s="9"/>
      <c r="E38" s="6"/>
      <c r="F38" s="6"/>
      <c r="G38" s="6"/>
      <c r="H38" s="9"/>
      <c r="I38" s="9"/>
      <c r="J38" s="9"/>
      <c r="K38" s="8"/>
    </row>
    <row r="39" spans="2:11">
      <c r="B39" s="8"/>
      <c r="C39" s="9"/>
      <c r="D39" s="9"/>
      <c r="E39" s="9"/>
      <c r="F39" s="9"/>
      <c r="G39" s="9"/>
      <c r="H39" s="9"/>
      <c r="I39" s="9"/>
      <c r="J39" s="9"/>
      <c r="K39" s="8"/>
    </row>
    <row r="40" spans="2:11">
      <c r="B40" s="8"/>
      <c r="C40" s="9"/>
      <c r="D40" s="9"/>
      <c r="E40" s="9"/>
      <c r="F40" s="9"/>
      <c r="G40" s="9"/>
      <c r="H40" s="9"/>
      <c r="I40" s="9"/>
      <c r="J40" s="9"/>
      <c r="K40" s="8"/>
    </row>
    <row r="47" spans="2:11">
      <c r="B47" t="s">
        <v>8</v>
      </c>
    </row>
  </sheetData>
  <pageMargins left="0.7" right="0.7" top="0.75" bottom="0.75" header="0.3" footer="0.3"/>
  <pageSetup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B2:Q56"/>
  <sheetViews>
    <sheetView topLeftCell="A12" workbookViewId="0">
      <selection activeCell="C24" sqref="C24"/>
    </sheetView>
  </sheetViews>
  <sheetFormatPr defaultColWidth="8.85546875" defaultRowHeight="15"/>
  <cols>
    <col min="3" max="3" width="16" customWidth="1"/>
  </cols>
  <sheetData>
    <row r="2" spans="3:6">
      <c r="C2" s="1"/>
      <c r="F2" s="8"/>
    </row>
    <row r="17" spans="3:8">
      <c r="C17" t="s">
        <v>4</v>
      </c>
      <c r="E17" t="s">
        <v>13</v>
      </c>
    </row>
    <row r="18" spans="3:8">
      <c r="C18" s="5" t="s">
        <v>1</v>
      </c>
    </row>
    <row r="19" spans="3:8">
      <c r="C19" s="2" t="s">
        <v>0</v>
      </c>
      <c r="D19" s="2">
        <v>1</v>
      </c>
      <c r="E19" s="2">
        <v>2</v>
      </c>
      <c r="F19" s="2">
        <v>4</v>
      </c>
      <c r="G19" s="2">
        <v>8</v>
      </c>
      <c r="H19" s="2">
        <v>16</v>
      </c>
    </row>
    <row r="20" spans="3:8">
      <c r="C20" s="3" t="s">
        <v>14</v>
      </c>
      <c r="D20" s="4">
        <v>86268</v>
      </c>
      <c r="E20" s="4">
        <v>120788</v>
      </c>
      <c r="F20" s="4">
        <v>137493</v>
      </c>
      <c r="G20" s="4">
        <v>142541</v>
      </c>
      <c r="H20" s="4">
        <v>159686</v>
      </c>
    </row>
    <row r="21" spans="3:8">
      <c r="C21" s="3" t="s">
        <v>15</v>
      </c>
      <c r="D21" s="4">
        <v>89385</v>
      </c>
      <c r="E21" s="4">
        <v>138356</v>
      </c>
      <c r="F21" s="4">
        <v>254672</v>
      </c>
      <c r="G21" s="4">
        <v>524508</v>
      </c>
      <c r="H21" s="4">
        <v>731136</v>
      </c>
    </row>
    <row r="22" spans="3:8">
      <c r="C22" s="3" t="s">
        <v>16</v>
      </c>
      <c r="D22" s="4">
        <v>100406</v>
      </c>
      <c r="E22" s="4">
        <v>160024</v>
      </c>
      <c r="F22" s="4">
        <v>283404</v>
      </c>
      <c r="G22" s="4">
        <v>340899</v>
      </c>
      <c r="H22" s="4">
        <v>68733</v>
      </c>
    </row>
    <row r="23" spans="3:8">
      <c r="C23" s="3" t="s">
        <v>12</v>
      </c>
      <c r="D23" s="4">
        <v>135351</v>
      </c>
      <c r="E23" s="4">
        <v>115977</v>
      </c>
      <c r="F23" s="4">
        <v>107074</v>
      </c>
      <c r="G23" s="4">
        <v>107292</v>
      </c>
      <c r="H23" s="4">
        <v>105072</v>
      </c>
    </row>
    <row r="24" spans="3:8">
      <c r="C24" s="3" t="s">
        <v>34</v>
      </c>
      <c r="D24" s="4">
        <v>18314</v>
      </c>
      <c r="E24" s="4">
        <v>37829</v>
      </c>
      <c r="F24" s="4">
        <v>51417</v>
      </c>
      <c r="G24" s="4">
        <v>90808</v>
      </c>
      <c r="H24" s="4">
        <v>113778</v>
      </c>
    </row>
    <row r="25" spans="3:8">
      <c r="C25" s="6" t="s">
        <v>7</v>
      </c>
      <c r="D25" s="6">
        <f>(D21/D20)*100</f>
        <v>103.61315899290582</v>
      </c>
      <c r="E25" s="6">
        <f t="shared" ref="E25:G25" si="0">(E21/E20)*100</f>
        <v>114.54449117462001</v>
      </c>
      <c r="F25" s="6">
        <f t="shared" si="0"/>
        <v>185.22542965823715</v>
      </c>
      <c r="G25" s="6">
        <f t="shared" si="0"/>
        <v>367.96991742726652</v>
      </c>
      <c r="H25" s="6">
        <f>(H21/H20)*100</f>
        <v>457.85854739927106</v>
      </c>
    </row>
    <row r="26" spans="3:8">
      <c r="D26" s="8"/>
      <c r="E26" s="8"/>
      <c r="F26" s="8"/>
      <c r="G26" s="8"/>
      <c r="H26" s="8"/>
    </row>
    <row r="27" spans="3:8">
      <c r="D27" s="8"/>
      <c r="E27" s="8"/>
      <c r="F27" s="8"/>
      <c r="G27" s="8"/>
      <c r="H27" s="8"/>
    </row>
    <row r="28" spans="3:8">
      <c r="C28" s="5" t="s">
        <v>18</v>
      </c>
    </row>
    <row r="29" spans="3:8">
      <c r="C29" s="2" t="s">
        <v>0</v>
      </c>
      <c r="D29" s="2">
        <v>1</v>
      </c>
      <c r="E29" s="2">
        <v>2</v>
      </c>
      <c r="F29" s="2">
        <v>4</v>
      </c>
      <c r="G29" s="2">
        <v>8</v>
      </c>
      <c r="H29" s="2">
        <v>16</v>
      </c>
    </row>
    <row r="30" spans="3:8">
      <c r="C30" s="3" t="s">
        <v>14</v>
      </c>
      <c r="D30" s="4">
        <v>9</v>
      </c>
      <c r="E30" s="4">
        <v>13</v>
      </c>
      <c r="F30" s="4">
        <v>22</v>
      </c>
      <c r="G30" s="4">
        <v>45</v>
      </c>
      <c r="H30" s="4">
        <v>86</v>
      </c>
    </row>
    <row r="31" spans="3:8">
      <c r="C31" s="3" t="s">
        <v>15</v>
      </c>
      <c r="D31" s="4">
        <v>10</v>
      </c>
      <c r="E31" s="4">
        <v>11</v>
      </c>
      <c r="F31" s="4">
        <v>11</v>
      </c>
      <c r="G31" s="4">
        <v>12</v>
      </c>
      <c r="H31" s="4">
        <v>16</v>
      </c>
    </row>
    <row r="32" spans="3:8">
      <c r="C32" s="3" t="s">
        <v>16</v>
      </c>
      <c r="D32">
        <v>26</v>
      </c>
      <c r="E32">
        <v>46</v>
      </c>
      <c r="F32">
        <v>38</v>
      </c>
      <c r="G32">
        <v>61</v>
      </c>
      <c r="H32">
        <v>841</v>
      </c>
    </row>
    <row r="33" spans="3:17">
      <c r="C33" s="3" t="s">
        <v>12</v>
      </c>
      <c r="D33">
        <v>22</v>
      </c>
      <c r="E33">
        <v>47</v>
      </c>
      <c r="F33">
        <v>111</v>
      </c>
      <c r="G33">
        <v>229</v>
      </c>
      <c r="H33">
        <v>467</v>
      </c>
    </row>
    <row r="34" spans="3:17">
      <c r="C34" s="3" t="s">
        <v>34</v>
      </c>
      <c r="D34">
        <v>18</v>
      </c>
      <c r="E34">
        <v>25</v>
      </c>
      <c r="F34">
        <v>42</v>
      </c>
      <c r="G34">
        <v>67</v>
      </c>
      <c r="H34">
        <v>109</v>
      </c>
    </row>
    <row r="35" spans="3:17">
      <c r="D35" s="8"/>
      <c r="E35" s="8"/>
      <c r="F35" s="8"/>
      <c r="G35" s="8"/>
      <c r="H35" s="8"/>
    </row>
    <row r="36" spans="3:17">
      <c r="C36" s="5" t="s">
        <v>2</v>
      </c>
      <c r="D36" s="8"/>
      <c r="E36" s="8"/>
      <c r="F36" s="8"/>
      <c r="G36" s="8"/>
      <c r="H36" s="8"/>
    </row>
    <row r="37" spans="3:17">
      <c r="C37" s="2" t="s">
        <v>0</v>
      </c>
      <c r="D37" s="2">
        <v>1</v>
      </c>
      <c r="E37" s="2">
        <v>2</v>
      </c>
      <c r="F37" s="2">
        <v>4</v>
      </c>
      <c r="G37" s="2">
        <v>8</v>
      </c>
      <c r="H37" s="2">
        <v>16</v>
      </c>
    </row>
    <row r="38" spans="3:17">
      <c r="C38" s="3" t="s">
        <v>14</v>
      </c>
      <c r="D38" s="4">
        <v>18</v>
      </c>
      <c r="E38" s="4">
        <v>25</v>
      </c>
      <c r="F38" s="4">
        <v>48</v>
      </c>
      <c r="G38" s="4">
        <v>98</v>
      </c>
      <c r="H38" s="4">
        <v>192</v>
      </c>
      <c r="O38">
        <f>H31</f>
        <v>16</v>
      </c>
      <c r="P38">
        <f>H39-H31</f>
        <v>23</v>
      </c>
      <c r="Q38" s="4">
        <f>H47-H39</f>
        <v>86</v>
      </c>
    </row>
    <row r="39" spans="3:17">
      <c r="C39" s="3" t="s">
        <v>15</v>
      </c>
      <c r="D39" s="4">
        <v>22</v>
      </c>
      <c r="E39" s="4">
        <v>33</v>
      </c>
      <c r="F39" s="4">
        <v>38</v>
      </c>
      <c r="G39" s="4">
        <v>34</v>
      </c>
      <c r="H39" s="4">
        <v>39</v>
      </c>
      <c r="N39" t="str">
        <f>C40</f>
        <v>HyperLevelDB</v>
      </c>
      <c r="O39">
        <f>H32</f>
        <v>841</v>
      </c>
      <c r="P39">
        <f>H40-H32</f>
        <v>93</v>
      </c>
      <c r="Q39" s="4">
        <f>H48-H40</f>
        <v>2858</v>
      </c>
    </row>
    <row r="40" spans="3:17">
      <c r="C40" s="3" t="s">
        <v>16</v>
      </c>
      <c r="D40">
        <v>29</v>
      </c>
      <c r="E40">
        <v>51</v>
      </c>
      <c r="F40">
        <v>42</v>
      </c>
      <c r="G40">
        <v>68</v>
      </c>
      <c r="H40">
        <v>934</v>
      </c>
      <c r="N40" t="str">
        <f>C38</f>
        <v>LevelDB</v>
      </c>
      <c r="O40">
        <f>H30</f>
        <v>86</v>
      </c>
      <c r="P40">
        <f>H38-H30</f>
        <v>106</v>
      </c>
      <c r="Q40" s="4">
        <f>H46-H38</f>
        <v>965</v>
      </c>
    </row>
    <row r="41" spans="3:17">
      <c r="C41" s="3" t="s">
        <v>12</v>
      </c>
      <c r="D41">
        <v>81</v>
      </c>
      <c r="E41">
        <v>213</v>
      </c>
      <c r="F41">
        <v>567</v>
      </c>
      <c r="G41">
        <v>901</v>
      </c>
      <c r="H41">
        <v>2235</v>
      </c>
      <c r="N41" t="str">
        <f>C41</f>
        <v>bLSM</v>
      </c>
      <c r="O41">
        <f>H33</f>
        <v>467</v>
      </c>
      <c r="P41">
        <f>H41-H33</f>
        <v>1768</v>
      </c>
      <c r="Q41">
        <f>H49-H41</f>
        <v>447</v>
      </c>
    </row>
    <row r="42" spans="3:17">
      <c r="C42" s="3" t="s">
        <v>34</v>
      </c>
      <c r="D42">
        <v>97</v>
      </c>
      <c r="E42">
        <v>91</v>
      </c>
      <c r="F42">
        <v>108</v>
      </c>
      <c r="G42">
        <v>163</v>
      </c>
      <c r="H42">
        <v>281</v>
      </c>
    </row>
    <row r="43" spans="3:17">
      <c r="D43" s="8"/>
      <c r="E43" s="8"/>
      <c r="F43" s="8"/>
      <c r="G43" s="8"/>
      <c r="H43" s="8"/>
    </row>
    <row r="44" spans="3:17">
      <c r="C44" s="5" t="s">
        <v>3</v>
      </c>
      <c r="D44" s="8"/>
      <c r="E44" s="8"/>
      <c r="F44" s="8"/>
      <c r="G44" s="8"/>
      <c r="H44" s="8"/>
    </row>
    <row r="45" spans="3:17">
      <c r="C45" s="2" t="s">
        <v>0</v>
      </c>
      <c r="D45" s="2">
        <v>1</v>
      </c>
      <c r="E45" s="2">
        <v>2</v>
      </c>
      <c r="F45" s="2">
        <v>4</v>
      </c>
      <c r="G45" s="2">
        <v>8</v>
      </c>
      <c r="H45" s="2">
        <v>16</v>
      </c>
    </row>
    <row r="46" spans="3:17">
      <c r="C46" s="3" t="s">
        <v>14</v>
      </c>
      <c r="D46" s="4">
        <v>84</v>
      </c>
      <c r="E46" s="4">
        <v>174</v>
      </c>
      <c r="F46" s="4">
        <v>237</v>
      </c>
      <c r="G46" s="4">
        <v>459</v>
      </c>
      <c r="H46" s="4">
        <v>1157</v>
      </c>
    </row>
    <row r="47" spans="3:17">
      <c r="C47" s="3" t="s">
        <v>15</v>
      </c>
      <c r="D47" s="4">
        <v>66</v>
      </c>
      <c r="E47" s="4">
        <v>66</v>
      </c>
      <c r="F47" s="4">
        <v>63</v>
      </c>
      <c r="G47" s="4">
        <v>62</v>
      </c>
      <c r="H47" s="4">
        <v>125</v>
      </c>
    </row>
    <row r="48" spans="3:17">
      <c r="C48" s="3" t="s">
        <v>16</v>
      </c>
      <c r="D48">
        <v>110</v>
      </c>
      <c r="E48">
        <v>225</v>
      </c>
      <c r="F48">
        <v>197</v>
      </c>
      <c r="G48">
        <v>361</v>
      </c>
      <c r="H48">
        <v>3792</v>
      </c>
    </row>
    <row r="49" spans="2:8">
      <c r="C49" s="3" t="s">
        <v>12</v>
      </c>
      <c r="D49">
        <v>138</v>
      </c>
      <c r="E49">
        <v>337</v>
      </c>
      <c r="F49">
        <v>850</v>
      </c>
      <c r="G49">
        <v>1171</v>
      </c>
      <c r="H49">
        <v>2682</v>
      </c>
    </row>
    <row r="50" spans="2:8">
      <c r="C50" s="3" t="s">
        <v>34</v>
      </c>
      <c r="D50">
        <v>162</v>
      </c>
      <c r="E50">
        <v>194</v>
      </c>
      <c r="F50">
        <v>270</v>
      </c>
      <c r="G50">
        <v>556</v>
      </c>
      <c r="H50">
        <v>1288</v>
      </c>
    </row>
    <row r="56" spans="2:8">
      <c r="B56" t="s">
        <v>8</v>
      </c>
    </row>
  </sheetData>
  <pageMargins left="0.7" right="0.7" top="0.75" bottom="0.75" header="0.3" footer="0.3"/>
  <pageSetup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dimension ref="B2:H57"/>
  <sheetViews>
    <sheetView workbookViewId="0">
      <selection activeCell="F30" sqref="F30:F32"/>
    </sheetView>
  </sheetViews>
  <sheetFormatPr defaultColWidth="8.85546875" defaultRowHeight="15"/>
  <cols>
    <col min="1" max="1" width="7.85546875" customWidth="1"/>
    <col min="2" max="2" width="9.140625" hidden="1" customWidth="1"/>
    <col min="3" max="3" width="31.28515625" customWidth="1"/>
  </cols>
  <sheetData>
    <row r="2" spans="3:6">
      <c r="C2" s="1"/>
      <c r="F2" s="8"/>
    </row>
    <row r="17" spans="3:8">
      <c r="C17" t="s">
        <v>24</v>
      </c>
      <c r="E17" t="s">
        <v>13</v>
      </c>
    </row>
    <row r="18" spans="3:8">
      <c r="C18" s="5" t="s">
        <v>25</v>
      </c>
    </row>
    <row r="19" spans="3:8">
      <c r="C19" s="2" t="s">
        <v>0</v>
      </c>
      <c r="D19" s="2">
        <v>1</v>
      </c>
      <c r="E19" s="2">
        <v>2</v>
      </c>
      <c r="F19" s="2">
        <v>4</v>
      </c>
      <c r="G19" s="2">
        <v>8</v>
      </c>
      <c r="H19" s="2">
        <v>16</v>
      </c>
    </row>
    <row r="20" spans="3:8">
      <c r="C20" s="3" t="s">
        <v>14</v>
      </c>
      <c r="D20" s="4">
        <v>95066</v>
      </c>
      <c r="E20" s="4">
        <v>256629</v>
      </c>
      <c r="F20" s="4">
        <v>212926</v>
      </c>
      <c r="G20" s="4">
        <v>189746</v>
      </c>
      <c r="H20" s="4">
        <v>198798</v>
      </c>
    </row>
    <row r="21" spans="3:8">
      <c r="C21" s="3" t="s">
        <v>15</v>
      </c>
      <c r="D21" s="4">
        <v>117469</v>
      </c>
      <c r="E21" s="4">
        <v>400293</v>
      </c>
      <c r="F21" s="4">
        <v>614693</v>
      </c>
      <c r="G21" s="4">
        <v>697900</v>
      </c>
      <c r="H21" s="4">
        <v>652199</v>
      </c>
    </row>
    <row r="22" spans="3:8">
      <c r="C22" s="3" t="s">
        <v>16</v>
      </c>
      <c r="D22" s="4">
        <v>125780</v>
      </c>
      <c r="E22" s="4">
        <v>315713</v>
      </c>
      <c r="F22" s="4">
        <v>419387</v>
      </c>
      <c r="G22" s="4">
        <v>403212</v>
      </c>
      <c r="H22" s="4">
        <v>76426</v>
      </c>
    </row>
    <row r="23" spans="3:8">
      <c r="C23" s="22" t="s">
        <v>34</v>
      </c>
      <c r="D23" s="21">
        <v>24068</v>
      </c>
      <c r="E23" s="21">
        <v>49714</v>
      </c>
      <c r="F23" s="21">
        <v>67571</v>
      </c>
      <c r="G23" s="21">
        <v>119339</v>
      </c>
      <c r="H23" s="21">
        <v>149526</v>
      </c>
    </row>
    <row r="25" spans="3:8">
      <c r="D25" s="21"/>
    </row>
    <row r="27" spans="3:8">
      <c r="D27" s="8"/>
      <c r="E27" s="8"/>
      <c r="F27" s="8"/>
      <c r="G27" s="8"/>
      <c r="H27" s="8"/>
    </row>
    <row r="28" spans="3:8">
      <c r="D28" s="8"/>
      <c r="E28" s="8"/>
      <c r="F28" s="8"/>
      <c r="G28" s="8"/>
      <c r="H28" s="8"/>
    </row>
    <row r="30" spans="3:8">
      <c r="F30" s="23"/>
    </row>
    <row r="31" spans="3:8">
      <c r="F31" s="23"/>
    </row>
    <row r="57" spans="2:2">
      <c r="B57" t="s">
        <v>8</v>
      </c>
    </row>
  </sheetData>
  <pageMargins left="0.7" right="0.7" top="0.75" bottom="0.75" header="0.3" footer="0.3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2:U63"/>
  <sheetViews>
    <sheetView topLeftCell="E4" zoomScale="130" zoomScaleNormal="130" workbookViewId="0">
      <selection activeCell="J37" sqref="J37"/>
    </sheetView>
  </sheetViews>
  <sheetFormatPr defaultColWidth="8.85546875" defaultRowHeight="15"/>
  <cols>
    <col min="1" max="1" width="7.85546875" style="21" customWidth="1"/>
    <col min="2" max="2" width="9.140625" style="21" hidden="1" customWidth="1"/>
    <col min="3" max="3" width="31.28515625" style="21" customWidth="1"/>
    <col min="4" max="16384" width="8.85546875" style="21"/>
  </cols>
  <sheetData>
    <row r="2" spans="3:5">
      <c r="C2" s="1"/>
      <c r="D2" s="8"/>
      <c r="E2" s="24"/>
    </row>
    <row r="3" spans="3:5">
      <c r="E3" s="25"/>
    </row>
    <row r="4" spans="3:5">
      <c r="E4" s="25"/>
    </row>
    <row r="5" spans="3:5">
      <c r="E5" s="24"/>
    </row>
    <row r="18" spans="3:8">
      <c r="C18" s="5" t="s">
        <v>1</v>
      </c>
    </row>
    <row r="19" spans="3:8">
      <c r="C19" s="2" t="s">
        <v>0</v>
      </c>
      <c r="D19" s="2">
        <v>1</v>
      </c>
      <c r="E19" s="2">
        <v>2</v>
      </c>
      <c r="F19" s="2">
        <v>4</v>
      </c>
      <c r="G19" s="2">
        <v>8</v>
      </c>
      <c r="H19" s="2">
        <v>16</v>
      </c>
    </row>
    <row r="20" spans="3:8">
      <c r="C20" s="22" t="s">
        <v>34</v>
      </c>
      <c r="D20" s="23">
        <v>26548</v>
      </c>
      <c r="E20" s="23">
        <v>30663</v>
      </c>
      <c r="F20" s="23">
        <v>37169</v>
      </c>
      <c r="G20" s="23">
        <v>40630</v>
      </c>
      <c r="H20" s="23">
        <v>41583</v>
      </c>
    </row>
    <row r="21" spans="3:8">
      <c r="C21" s="22" t="s">
        <v>37</v>
      </c>
      <c r="D21" s="23">
        <v>4753</v>
      </c>
      <c r="E21" s="23">
        <v>7712</v>
      </c>
      <c r="F21" s="23">
        <v>11555</v>
      </c>
      <c r="G21" s="23">
        <v>13900</v>
      </c>
      <c r="H21" s="23">
        <v>23090</v>
      </c>
    </row>
    <row r="22" spans="3:8">
      <c r="C22" s="22" t="s">
        <v>31</v>
      </c>
      <c r="D22" s="23">
        <v>12172</v>
      </c>
      <c r="E22" s="23">
        <v>18988</v>
      </c>
      <c r="F22" s="23">
        <v>24281</v>
      </c>
      <c r="G22" s="23">
        <v>34765</v>
      </c>
      <c r="H22" s="23">
        <v>41576</v>
      </c>
    </row>
    <row r="25" spans="3:8">
      <c r="D25" s="24"/>
    </row>
    <row r="26" spans="3:8">
      <c r="D26" s="8"/>
      <c r="F26" s="8"/>
      <c r="G26" s="8"/>
      <c r="H26" s="8"/>
    </row>
    <row r="27" spans="3:8">
      <c r="D27" s="23"/>
      <c r="F27" s="8"/>
      <c r="G27" s="8"/>
      <c r="H27" s="8"/>
    </row>
    <row r="44" spans="14:21">
      <c r="N44" s="21">
        <f>C46</f>
        <v>0</v>
      </c>
      <c r="O44" s="21">
        <f>G31</f>
        <v>0</v>
      </c>
      <c r="P44" s="21">
        <f>G39-G31</f>
        <v>0</v>
      </c>
      <c r="Q44" s="21">
        <f>G54-G39</f>
        <v>0</v>
      </c>
      <c r="R44" s="23"/>
    </row>
    <row r="45" spans="14:21">
      <c r="N45" s="21">
        <f>C47</f>
        <v>0</v>
      </c>
      <c r="O45" s="21">
        <f>G32</f>
        <v>0</v>
      </c>
      <c r="P45" s="21">
        <f>G40-G32</f>
        <v>0</v>
      </c>
      <c r="Q45" s="23">
        <f>G55-G40</f>
        <v>0</v>
      </c>
      <c r="R45" s="23"/>
      <c r="S45" s="23"/>
      <c r="T45" s="23"/>
      <c r="U45" s="23"/>
    </row>
    <row r="46" spans="14:21">
      <c r="N46" s="21">
        <f>C45</f>
        <v>0</v>
      </c>
      <c r="O46" s="21">
        <f>G30</f>
        <v>0</v>
      </c>
      <c r="P46" s="21">
        <f>G38-G30</f>
        <v>0</v>
      </c>
      <c r="Q46" s="23">
        <f>G53-G38</f>
        <v>0</v>
      </c>
    </row>
    <row r="47" spans="14:21">
      <c r="N47" s="21">
        <f>C56</f>
        <v>0</v>
      </c>
      <c r="O47" s="21">
        <f>G33</f>
        <v>0</v>
      </c>
      <c r="P47" s="21">
        <f>G41-G33</f>
        <v>0</v>
      </c>
      <c r="Q47" s="23">
        <f>G56-G41</f>
        <v>0</v>
      </c>
    </row>
    <row r="48" spans="14:21">
      <c r="Q48" s="23"/>
    </row>
    <row r="49" spans="2:17">
      <c r="Q49" s="23"/>
    </row>
    <row r="63" spans="2:17">
      <c r="B63" s="21" t="s">
        <v>8</v>
      </c>
    </row>
  </sheetData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5:H56"/>
  <sheetViews>
    <sheetView workbookViewId="0">
      <selection activeCell="U26" sqref="U26"/>
    </sheetView>
  </sheetViews>
  <sheetFormatPr defaultColWidth="8.85546875" defaultRowHeight="15"/>
  <cols>
    <col min="1" max="1" width="7.85546875" customWidth="1"/>
    <col min="2" max="2" width="9.140625" hidden="1" customWidth="1"/>
    <col min="3" max="3" width="31.28515625" customWidth="1"/>
  </cols>
  <sheetData>
    <row r="5" spans="1:3">
      <c r="A5" s="1" t="s">
        <v>26</v>
      </c>
      <c r="C5" s="8"/>
    </row>
    <row r="6" spans="1:3">
      <c r="A6" s="1" t="s">
        <v>27</v>
      </c>
      <c r="C6">
        <v>7</v>
      </c>
    </row>
    <row r="7" spans="1:3">
      <c r="A7" s="1" t="s">
        <v>28</v>
      </c>
      <c r="C7">
        <v>93</v>
      </c>
    </row>
    <row r="17" spans="3:8">
      <c r="E17" t="s">
        <v>13</v>
      </c>
    </row>
    <row r="18" spans="3:8">
      <c r="C18" s="5" t="s">
        <v>1</v>
      </c>
    </row>
    <row r="19" spans="3:8">
      <c r="C19" s="2" t="s">
        <v>0</v>
      </c>
      <c r="D19" s="2">
        <v>1</v>
      </c>
      <c r="E19" s="2">
        <v>2</v>
      </c>
      <c r="F19" s="2">
        <v>4</v>
      </c>
      <c r="G19" s="2">
        <v>8</v>
      </c>
      <c r="H19" s="2">
        <v>16</v>
      </c>
    </row>
    <row r="20" spans="3:8">
      <c r="C20" s="3" t="s">
        <v>14</v>
      </c>
      <c r="D20" s="4">
        <v>331063</v>
      </c>
      <c r="E20" s="4">
        <v>335183</v>
      </c>
      <c r="F20" s="4">
        <v>530788</v>
      </c>
      <c r="G20" s="4">
        <v>605825</v>
      </c>
      <c r="H20" s="4">
        <v>530981</v>
      </c>
    </row>
    <row r="21" spans="3:8">
      <c r="C21" s="3" t="s">
        <v>15</v>
      </c>
      <c r="D21" s="4">
        <v>270711</v>
      </c>
      <c r="E21" s="4">
        <v>292714</v>
      </c>
      <c r="F21" s="4">
        <v>490496</v>
      </c>
      <c r="G21" s="4">
        <v>809631</v>
      </c>
      <c r="H21" s="4">
        <v>1010903</v>
      </c>
    </row>
    <row r="22" spans="3:8">
      <c r="C22" s="3" t="s">
        <v>16</v>
      </c>
      <c r="D22" s="4">
        <v>367467</v>
      </c>
      <c r="E22" s="4">
        <v>323893</v>
      </c>
      <c r="F22" s="4">
        <v>526590</v>
      </c>
      <c r="G22" s="4">
        <v>628690</v>
      </c>
      <c r="H22" s="4">
        <v>506685</v>
      </c>
    </row>
    <row r="23" spans="3:8">
      <c r="C23" s="3" t="s">
        <v>34</v>
      </c>
      <c r="D23" s="14">
        <v>108408</v>
      </c>
      <c r="E23" s="14">
        <v>105876</v>
      </c>
      <c r="F23" s="14">
        <v>175567</v>
      </c>
      <c r="G23" s="14">
        <v>277972</v>
      </c>
      <c r="H23" s="14">
        <v>300238</v>
      </c>
    </row>
    <row r="26" spans="3:8">
      <c r="D26" s="8"/>
      <c r="E26" s="8"/>
      <c r="F26" s="8"/>
      <c r="G26" s="8"/>
      <c r="H26" s="8"/>
    </row>
    <row r="27" spans="3:8">
      <c r="D27" s="8"/>
      <c r="E27" s="8"/>
      <c r="F27" s="8"/>
      <c r="G27" s="8"/>
      <c r="H27" s="8"/>
    </row>
    <row r="31" spans="3:8">
      <c r="C31" t="s">
        <v>29</v>
      </c>
    </row>
    <row r="32" spans="3:8">
      <c r="C32">
        <v>5</v>
      </c>
      <c r="D32" s="11">
        <v>68.946406999999994</v>
      </c>
      <c r="E32">
        <f>SUM($D$32:D32)</f>
        <v>68.946406999999994</v>
      </c>
      <c r="F32">
        <f>1-E32/100</f>
        <v>0.31053593000000002</v>
      </c>
      <c r="G32">
        <f>LOG(F32)</f>
        <v>-0.5078881433200193</v>
      </c>
    </row>
    <row r="33" spans="3:7">
      <c r="C33">
        <v>10</v>
      </c>
      <c r="D33" s="11">
        <v>6.2922940000000001</v>
      </c>
      <c r="E33">
        <f>SUM($D$32:D33)</f>
        <v>75.238700999999992</v>
      </c>
      <c r="F33">
        <f t="shared" ref="F33:F51" si="0">1-E33/100</f>
        <v>0.24761299000000003</v>
      </c>
      <c r="G33">
        <f t="shared" ref="G33:G51" si="1">LOG(F33)</f>
        <v>-0.60622657557543069</v>
      </c>
    </row>
    <row r="34" spans="3:7">
      <c r="C34">
        <v>15</v>
      </c>
      <c r="D34" s="11">
        <v>3.9528500000000002</v>
      </c>
      <c r="E34">
        <f>SUM($D$32:D34)</f>
        <v>79.19155099999999</v>
      </c>
      <c r="F34">
        <f t="shared" si="0"/>
        <v>0.20808449000000007</v>
      </c>
      <c r="G34">
        <f t="shared" si="1"/>
        <v>-0.68176028960310309</v>
      </c>
    </row>
    <row r="35" spans="3:7">
      <c r="C35">
        <v>20</v>
      </c>
      <c r="D35" s="11">
        <v>2.9383240000000002</v>
      </c>
      <c r="E35">
        <f>SUM($D$32:D35)</f>
        <v>82.129874999999984</v>
      </c>
      <c r="F35">
        <f t="shared" si="0"/>
        <v>0.17870125000000014</v>
      </c>
      <c r="G35">
        <f t="shared" si="1"/>
        <v>-0.74787240963087631</v>
      </c>
    </row>
    <row r="36" spans="3:7">
      <c r="C36">
        <v>25</v>
      </c>
      <c r="D36" s="11">
        <v>2.2949099999999998</v>
      </c>
      <c r="E36">
        <f>SUM($D$32:D36)</f>
        <v>84.424784999999986</v>
      </c>
      <c r="F36">
        <f t="shared" si="0"/>
        <v>0.15575215000000009</v>
      </c>
      <c r="G36">
        <f t="shared" si="1"/>
        <v>-0.80756594963385553</v>
      </c>
    </row>
    <row r="37" spans="3:7">
      <c r="C37">
        <v>30</v>
      </c>
      <c r="D37" s="11">
        <v>1.608563</v>
      </c>
      <c r="E37">
        <f>SUM($D$32:D37)</f>
        <v>86.033347999999989</v>
      </c>
      <c r="F37">
        <f t="shared" si="0"/>
        <v>0.13966652000000013</v>
      </c>
      <c r="G37">
        <f t="shared" si="1"/>
        <v>-0.85490768781463733</v>
      </c>
    </row>
    <row r="38" spans="3:7">
      <c r="C38">
        <v>35</v>
      </c>
      <c r="D38" s="11">
        <v>1.5299400000000001</v>
      </c>
      <c r="E38">
        <f>SUM($D$32:D38)</f>
        <v>87.563287999999986</v>
      </c>
      <c r="F38">
        <f t="shared" si="0"/>
        <v>0.12436712000000016</v>
      </c>
      <c r="G38">
        <f t="shared" si="1"/>
        <v>-0.90529442261954862</v>
      </c>
    </row>
    <row r="39" spans="3:7">
      <c r="C39">
        <v>40</v>
      </c>
      <c r="D39" s="11">
        <v>1.5299400000000001</v>
      </c>
      <c r="E39">
        <f>SUM($D$32:D39)</f>
        <v>89.093227999999982</v>
      </c>
      <c r="F39">
        <f t="shared" si="0"/>
        <v>0.1090677200000002</v>
      </c>
      <c r="G39">
        <f t="shared" si="1"/>
        <v>-0.96230376545406848</v>
      </c>
    </row>
    <row r="40" spans="3:7">
      <c r="C40">
        <v>45</v>
      </c>
      <c r="D40" s="11">
        <v>1.5299400000000001</v>
      </c>
      <c r="E40">
        <f>SUM($D$32:D40)</f>
        <v>90.623167999999978</v>
      </c>
      <c r="F40">
        <f t="shared" si="0"/>
        <v>9.3768320000000238E-2</v>
      </c>
      <c r="G40">
        <f t="shared" si="1"/>
        <v>-1.0279438649588704</v>
      </c>
    </row>
    <row r="41" spans="3:7">
      <c r="C41">
        <v>50</v>
      </c>
      <c r="D41" s="11">
        <v>1.5299400000000001</v>
      </c>
      <c r="E41">
        <f>SUM($D$32:D41)</f>
        <v>92.153107999999975</v>
      </c>
      <c r="F41">
        <f t="shared" si="0"/>
        <v>7.8468920000000275E-2</v>
      </c>
      <c r="G41">
        <f t="shared" si="1"/>
        <v>-1.1053023247231022</v>
      </c>
    </row>
    <row r="42" spans="3:7">
      <c r="C42">
        <v>55</v>
      </c>
      <c r="D42" s="11">
        <v>0.96198700000000004</v>
      </c>
      <c r="E42">
        <f>SUM($D$32:D42)</f>
        <v>93.115094999999968</v>
      </c>
      <c r="F42">
        <f t="shared" si="0"/>
        <v>6.88490500000003E-2</v>
      </c>
      <c r="G42">
        <f t="shared" si="1"/>
        <v>-1.1621020478922299</v>
      </c>
    </row>
    <row r="43" spans="3:7">
      <c r="C43">
        <v>60</v>
      </c>
      <c r="D43" s="11">
        <v>0.76497000000000004</v>
      </c>
      <c r="E43">
        <f>SUM($D$32:D43)</f>
        <v>93.880064999999973</v>
      </c>
      <c r="F43">
        <f t="shared" si="0"/>
        <v>6.1199350000000319E-2</v>
      </c>
      <c r="G43">
        <f t="shared" si="1"/>
        <v>-1.2132531904837232</v>
      </c>
    </row>
    <row r="44" spans="3:7">
      <c r="C44">
        <v>65</v>
      </c>
      <c r="D44" s="11">
        <v>0.76497000000000004</v>
      </c>
      <c r="E44">
        <f>SUM($D$32:D44)</f>
        <v>94.645034999999979</v>
      </c>
      <c r="F44">
        <f t="shared" si="0"/>
        <v>5.3549650000000226E-2</v>
      </c>
      <c r="G44">
        <f t="shared" si="1"/>
        <v>-1.2712433633674256</v>
      </c>
    </row>
    <row r="45" spans="3:7">
      <c r="C45">
        <v>70</v>
      </c>
      <c r="D45" s="11">
        <v>0.76497000000000004</v>
      </c>
      <c r="E45">
        <f>SUM($D$32:D45)</f>
        <v>95.410004999999984</v>
      </c>
      <c r="F45">
        <f t="shared" si="0"/>
        <v>4.5899950000000134E-2</v>
      </c>
      <c r="G45">
        <f t="shared" si="1"/>
        <v>-1.338187787550666</v>
      </c>
    </row>
    <row r="46" spans="3:7">
      <c r="C46">
        <v>75</v>
      </c>
      <c r="D46" s="11">
        <v>0.76497000000000004</v>
      </c>
      <c r="E46">
        <f>SUM($D$32:D46)</f>
        <v>96.174974999999989</v>
      </c>
      <c r="F46">
        <f t="shared" si="0"/>
        <v>3.8250250000000152E-2</v>
      </c>
      <c r="G46">
        <f t="shared" si="1"/>
        <v>-1.4173657219936124</v>
      </c>
    </row>
    <row r="47" spans="3:7">
      <c r="C47">
        <v>80</v>
      </c>
      <c r="D47" s="11">
        <v>0.76497000000000004</v>
      </c>
      <c r="E47">
        <f>SUM($D$32:D47)</f>
        <v>96.939944999999994</v>
      </c>
      <c r="F47">
        <f t="shared" si="0"/>
        <v>3.060055000000006E-2</v>
      </c>
      <c r="G47">
        <f t="shared" si="1"/>
        <v>-1.5142707676419997</v>
      </c>
    </row>
    <row r="48" spans="3:7">
      <c r="C48">
        <v>85</v>
      </c>
      <c r="D48" s="11">
        <v>0.76497000000000004</v>
      </c>
      <c r="E48">
        <f>SUM($D$32:D48)</f>
        <v>97.704915</v>
      </c>
      <c r="F48">
        <f t="shared" si="0"/>
        <v>2.2950849999999967E-2</v>
      </c>
      <c r="G48">
        <f t="shared" si="1"/>
        <v>-1.639201225443772</v>
      </c>
    </row>
    <row r="49" spans="2:7">
      <c r="C49">
        <v>90</v>
      </c>
      <c r="D49" s="11">
        <v>0.76497000000000004</v>
      </c>
      <c r="E49">
        <f>SUM($D$32:D49)</f>
        <v>98.469885000000005</v>
      </c>
      <c r="F49">
        <f t="shared" si="0"/>
        <v>1.5301149999999986E-2</v>
      </c>
      <c r="G49">
        <f t="shared" si="1"/>
        <v>-1.815275927359828</v>
      </c>
    </row>
    <row r="50" spans="2:7">
      <c r="C50">
        <v>95</v>
      </c>
      <c r="D50" s="11">
        <v>0.76497000000000004</v>
      </c>
      <c r="E50">
        <f>SUM($D$32:D50)</f>
        <v>99.23485500000001</v>
      </c>
      <c r="F50">
        <f t="shared" si="0"/>
        <v>7.6514499999998931E-3</v>
      </c>
      <c r="G50">
        <f t="shared" si="1"/>
        <v>-2.1162562553919715</v>
      </c>
    </row>
    <row r="51" spans="2:7">
      <c r="C51">
        <v>100</v>
      </c>
      <c r="D51" s="11">
        <v>0.76497000000000004</v>
      </c>
      <c r="E51">
        <f>SUM($D$32:D51)</f>
        <v>99.999825000000016</v>
      </c>
      <c r="F51">
        <f t="shared" si="0"/>
        <v>1.7499999998005222E-6</v>
      </c>
      <c r="G51">
        <f t="shared" si="1"/>
        <v>-5.75696195136321</v>
      </c>
    </row>
    <row r="56" spans="2:7">
      <c r="B56" t="s">
        <v>8</v>
      </c>
    </row>
  </sheetData>
  <pageMargins left="0.7" right="0.7" top="0.75" bottom="0.75" header="0.3" footer="0.3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2:H56"/>
  <sheetViews>
    <sheetView workbookViewId="0">
      <selection activeCell="U20" sqref="U20"/>
    </sheetView>
  </sheetViews>
  <sheetFormatPr defaultColWidth="8.85546875" defaultRowHeight="15"/>
  <cols>
    <col min="1" max="1" width="7.85546875" customWidth="1"/>
    <col min="2" max="2" width="9.140625" hidden="1" customWidth="1"/>
    <col min="3" max="3" width="31.28515625" customWidth="1"/>
  </cols>
  <sheetData>
    <row r="2" spans="1:4">
      <c r="C2" s="1"/>
      <c r="D2" s="8"/>
    </row>
    <row r="5" spans="1:4">
      <c r="A5" s="1" t="s">
        <v>26</v>
      </c>
    </row>
    <row r="6" spans="1:4">
      <c r="A6" s="1" t="s">
        <v>27</v>
      </c>
      <c r="C6">
        <v>15</v>
      </c>
    </row>
    <row r="7" spans="1:4">
      <c r="A7" s="1" t="s">
        <v>28</v>
      </c>
      <c r="C7">
        <v>85</v>
      </c>
    </row>
    <row r="17" spans="3:8">
      <c r="E17" t="s">
        <v>13</v>
      </c>
    </row>
    <row r="18" spans="3:8">
      <c r="C18" s="5" t="s">
        <v>1</v>
      </c>
    </row>
    <row r="19" spans="3:8">
      <c r="C19" s="2" t="s">
        <v>0</v>
      </c>
      <c r="D19" s="2">
        <v>1</v>
      </c>
      <c r="E19" s="2">
        <v>2</v>
      </c>
      <c r="F19" s="2">
        <v>4</v>
      </c>
      <c r="G19" s="2">
        <v>8</v>
      </c>
      <c r="H19" s="2">
        <v>16</v>
      </c>
    </row>
    <row r="20" spans="3:8">
      <c r="C20" s="3" t="s">
        <v>14</v>
      </c>
      <c r="D20" s="4">
        <v>148943</v>
      </c>
      <c r="E20" s="4">
        <v>176513</v>
      </c>
      <c r="F20" s="4">
        <v>290460</v>
      </c>
      <c r="G20" s="4">
        <v>436914</v>
      </c>
      <c r="H20" s="4">
        <v>394516</v>
      </c>
    </row>
    <row r="21" spans="3:8">
      <c r="C21" s="3" t="s">
        <v>15</v>
      </c>
      <c r="D21">
        <v>137720</v>
      </c>
      <c r="E21">
        <v>165541</v>
      </c>
      <c r="F21">
        <v>295644</v>
      </c>
      <c r="G21">
        <v>527357</v>
      </c>
      <c r="H21">
        <v>728140</v>
      </c>
    </row>
    <row r="22" spans="3:8">
      <c r="C22" s="3" t="s">
        <v>16</v>
      </c>
      <c r="D22">
        <v>155371</v>
      </c>
      <c r="E22">
        <v>184039</v>
      </c>
      <c r="F22">
        <v>314523</v>
      </c>
      <c r="G22">
        <v>502706</v>
      </c>
      <c r="H22">
        <v>568008</v>
      </c>
    </row>
    <row r="23" spans="3:8">
      <c r="C23" s="3" t="s">
        <v>34</v>
      </c>
      <c r="D23" s="15">
        <v>49757</v>
      </c>
      <c r="E23" s="15">
        <v>57258</v>
      </c>
      <c r="F23" s="15">
        <v>99774</v>
      </c>
      <c r="G23" s="15">
        <v>196601</v>
      </c>
      <c r="H23" s="15">
        <v>271941</v>
      </c>
    </row>
    <row r="31" spans="3:8">
      <c r="C31" t="s">
        <v>29</v>
      </c>
    </row>
    <row r="32" spans="3:8">
      <c r="C32">
        <v>5</v>
      </c>
      <c r="D32" s="11">
        <v>51.409249000000003</v>
      </c>
      <c r="E32">
        <f>SUM($D$32:D32)</f>
        <v>51.409249000000003</v>
      </c>
      <c r="F32">
        <f>1-E32/100</f>
        <v>0.48590750999999999</v>
      </c>
      <c r="G32">
        <f t="shared" ref="G32:G51" si="0">LOG(F32)</f>
        <v>-0.31344638859627694</v>
      </c>
    </row>
    <row r="33" spans="3:7">
      <c r="C33">
        <v>10</v>
      </c>
      <c r="D33" s="11">
        <v>9.9151100000000003</v>
      </c>
      <c r="E33">
        <f>SUM($D$32:D33)</f>
        <v>61.324359000000001</v>
      </c>
      <c r="F33">
        <f t="shared" ref="F33:F51" si="1">1-E33/100</f>
        <v>0.38675640999999994</v>
      </c>
      <c r="G33">
        <f t="shared" si="0"/>
        <v>-0.412562479685325</v>
      </c>
    </row>
    <row r="34" spans="3:7">
      <c r="C34">
        <v>15</v>
      </c>
      <c r="D34" s="11">
        <v>6.6324500000000004</v>
      </c>
      <c r="E34">
        <f>SUM($D$32:D34)</f>
        <v>67.956809000000007</v>
      </c>
      <c r="F34">
        <f t="shared" si="1"/>
        <v>0.32043190999999993</v>
      </c>
      <c r="G34">
        <f t="shared" si="0"/>
        <v>-0.49426424150522213</v>
      </c>
    </row>
    <row r="35" spans="3:7">
      <c r="C35">
        <v>20</v>
      </c>
      <c r="D35" s="11">
        <v>4.8335869999999996</v>
      </c>
      <c r="E35">
        <f>SUM($D$32:D35)</f>
        <v>72.790396000000001</v>
      </c>
      <c r="F35">
        <f t="shared" si="1"/>
        <v>0.27209603999999998</v>
      </c>
      <c r="G35">
        <f t="shared" si="0"/>
        <v>-0.56527777875924645</v>
      </c>
    </row>
    <row r="36" spans="3:7">
      <c r="C36">
        <v>25</v>
      </c>
      <c r="D36" s="11">
        <v>3.9659399999999998</v>
      </c>
      <c r="E36">
        <f>SUM($D$32:D36)</f>
        <v>76.756336000000005</v>
      </c>
      <c r="F36">
        <f t="shared" si="1"/>
        <v>0.23243663999999997</v>
      </c>
      <c r="G36">
        <f t="shared" si="0"/>
        <v>-0.6336954111544747</v>
      </c>
    </row>
    <row r="37" spans="3:7">
      <c r="C37">
        <v>30</v>
      </c>
      <c r="D37" s="11">
        <v>3.1036589999999999</v>
      </c>
      <c r="E37">
        <f>SUM($D$32:D37)</f>
        <v>79.859994999999998</v>
      </c>
      <c r="F37">
        <f t="shared" si="1"/>
        <v>0.20140005000000005</v>
      </c>
      <c r="G37">
        <f t="shared" si="0"/>
        <v>-0.69594042596352579</v>
      </c>
    </row>
    <row r="38" spans="3:7">
      <c r="C38">
        <v>35</v>
      </c>
      <c r="D38" s="11">
        <v>2.8527480000000001</v>
      </c>
      <c r="E38">
        <f>SUM($D$32:D38)</f>
        <v>82.712743000000003</v>
      </c>
      <c r="F38">
        <f t="shared" si="1"/>
        <v>0.17287257</v>
      </c>
      <c r="G38">
        <f t="shared" si="0"/>
        <v>-0.76227391154211643</v>
      </c>
    </row>
    <row r="39" spans="3:7">
      <c r="C39">
        <v>40</v>
      </c>
      <c r="D39" s="11">
        <v>2.0691060000000001</v>
      </c>
      <c r="E39">
        <f>SUM($D$32:D39)</f>
        <v>84.781849000000008</v>
      </c>
      <c r="F39">
        <f t="shared" si="1"/>
        <v>0.15218150999999991</v>
      </c>
      <c r="G39">
        <f t="shared" si="0"/>
        <v>-0.81763811098711581</v>
      </c>
    </row>
    <row r="40" spans="3:7">
      <c r="C40">
        <v>45</v>
      </c>
      <c r="D40" s="11">
        <v>2.0691060000000001</v>
      </c>
      <c r="E40">
        <f>SUM($D$32:D40)</f>
        <v>86.850955000000013</v>
      </c>
      <c r="F40">
        <f t="shared" si="1"/>
        <v>0.13149044999999981</v>
      </c>
      <c r="G40">
        <f t="shared" si="0"/>
        <v>-0.88110578833706088</v>
      </c>
    </row>
    <row r="41" spans="3:7">
      <c r="C41">
        <v>50</v>
      </c>
      <c r="D41" s="11">
        <v>2.0691060000000001</v>
      </c>
      <c r="E41">
        <f>SUM($D$32:D41)</f>
        <v>88.920061000000018</v>
      </c>
      <c r="F41">
        <f t="shared" si="1"/>
        <v>0.11079938999999983</v>
      </c>
      <c r="G41">
        <f t="shared" si="0"/>
        <v>-0.95546263058559699</v>
      </c>
    </row>
    <row r="42" spans="3:7">
      <c r="C42">
        <v>55</v>
      </c>
      <c r="D42" s="11">
        <v>1.7689429999999999</v>
      </c>
      <c r="E42">
        <f>SUM($D$32:D42)</f>
        <v>90.689004000000011</v>
      </c>
      <c r="F42">
        <f t="shared" si="1"/>
        <v>9.3109959999999936E-2</v>
      </c>
      <c r="G42">
        <f t="shared" si="0"/>
        <v>-1.0310038599243763</v>
      </c>
    </row>
    <row r="43" spans="3:7">
      <c r="C43">
        <v>60</v>
      </c>
      <c r="D43" s="11">
        <v>1.0345530000000001</v>
      </c>
      <c r="E43">
        <f>SUM($D$32:D43)</f>
        <v>91.723557000000014</v>
      </c>
      <c r="F43">
        <f t="shared" si="1"/>
        <v>8.2764429999999889E-2</v>
      </c>
      <c r="G43">
        <f t="shared" si="0"/>
        <v>-1.0821562715942146</v>
      </c>
    </row>
    <row r="44" spans="3:7">
      <c r="C44">
        <v>65</v>
      </c>
      <c r="D44" s="11">
        <v>1.0345530000000001</v>
      </c>
      <c r="E44">
        <f>SUM($D$32:D44)</f>
        <v>92.758110000000016</v>
      </c>
      <c r="F44">
        <f t="shared" si="1"/>
        <v>7.2418899999999842E-2</v>
      </c>
      <c r="G44">
        <f t="shared" si="0"/>
        <v>-1.1401480761436733</v>
      </c>
    </row>
    <row r="45" spans="3:7">
      <c r="C45">
        <v>70</v>
      </c>
      <c r="D45" s="11">
        <v>1.0345530000000001</v>
      </c>
      <c r="E45">
        <f>SUM($D$32:D45)</f>
        <v>93.792663000000019</v>
      </c>
      <c r="F45">
        <f t="shared" si="1"/>
        <v>6.2073369999999795E-2</v>
      </c>
      <c r="G45">
        <f t="shared" si="0"/>
        <v>-1.2070946758700549</v>
      </c>
    </row>
    <row r="46" spans="3:7">
      <c r="C46">
        <v>75</v>
      </c>
      <c r="D46" s="11">
        <v>1.0345530000000001</v>
      </c>
      <c r="E46">
        <f>SUM($D$32:D46)</f>
        <v>94.827216000000021</v>
      </c>
      <c r="F46">
        <f t="shared" si="1"/>
        <v>5.1727839999999747E-2</v>
      </c>
      <c r="G46">
        <f t="shared" si="0"/>
        <v>-1.2862756560518951</v>
      </c>
    </row>
    <row r="47" spans="3:7">
      <c r="C47">
        <v>80</v>
      </c>
      <c r="D47" s="11">
        <v>1.0345530000000001</v>
      </c>
      <c r="E47">
        <f>SUM($D$32:D47)</f>
        <v>95.861769000000024</v>
      </c>
      <c r="F47">
        <f t="shared" si="1"/>
        <v>4.1382309999999811E-2</v>
      </c>
      <c r="G47">
        <f t="shared" si="0"/>
        <v>-1.3831852702615786</v>
      </c>
    </row>
    <row r="48" spans="3:7">
      <c r="C48">
        <v>85</v>
      </c>
      <c r="D48" s="11">
        <v>1.0345530000000001</v>
      </c>
      <c r="E48">
        <f>SUM($D$32:D48)</f>
        <v>96.896322000000026</v>
      </c>
      <c r="F48">
        <f t="shared" si="1"/>
        <v>3.1036779999999764E-2</v>
      </c>
      <c r="G48">
        <f t="shared" si="0"/>
        <v>-1.508123342206739</v>
      </c>
    </row>
    <row r="49" spans="2:7">
      <c r="C49">
        <v>90</v>
      </c>
      <c r="D49" s="11">
        <v>1.0345530000000001</v>
      </c>
      <c r="E49">
        <f>SUM($D$32:D49)</f>
        <v>97.930875000000029</v>
      </c>
      <c r="F49">
        <f t="shared" si="1"/>
        <v>2.0691249999999717E-2</v>
      </c>
      <c r="G49">
        <f t="shared" si="0"/>
        <v>-1.6842132719391929</v>
      </c>
    </row>
    <row r="50" spans="2:7">
      <c r="C50">
        <v>95</v>
      </c>
      <c r="D50" s="11">
        <v>1.0345530000000001</v>
      </c>
      <c r="E50">
        <f>SUM($D$32:D50)</f>
        <v>98.965428000000031</v>
      </c>
      <c r="F50">
        <f t="shared" si="1"/>
        <v>1.034571999999967E-2</v>
      </c>
      <c r="G50">
        <f t="shared" si="0"/>
        <v>-1.9852392796579053</v>
      </c>
    </row>
    <row r="51" spans="2:7">
      <c r="C51">
        <v>100</v>
      </c>
      <c r="D51" s="11">
        <v>1.0345530000000001</v>
      </c>
      <c r="E51">
        <f>SUM($D$32:D51)</f>
        <v>99.999981000000034</v>
      </c>
      <c r="F51">
        <f t="shared" si="1"/>
        <v>1.8999999962243663E-7</v>
      </c>
      <c r="G51">
        <f t="shared" si="0"/>
        <v>-6.7212463999101901</v>
      </c>
    </row>
    <row r="56" spans="2:7">
      <c r="B56" t="s">
        <v>8</v>
      </c>
    </row>
  </sheetData>
  <pageMargins left="0.7" right="0.7" top="0.75" bottom="0.75" header="0.3" footer="0.3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H56"/>
  <sheetViews>
    <sheetView workbookViewId="0">
      <selection activeCell="D23" sqref="D23:H23"/>
    </sheetView>
  </sheetViews>
  <sheetFormatPr defaultColWidth="8.85546875" defaultRowHeight="15"/>
  <cols>
    <col min="1" max="1" width="7.85546875" customWidth="1"/>
    <col min="2" max="2" width="9.140625" hidden="1" customWidth="1"/>
    <col min="3" max="3" width="31.28515625" customWidth="1"/>
  </cols>
  <sheetData>
    <row r="2" spans="1:4">
      <c r="C2" s="1"/>
      <c r="D2" s="8"/>
    </row>
    <row r="5" spans="1:4">
      <c r="A5" s="1" t="s">
        <v>26</v>
      </c>
    </row>
    <row r="6" spans="1:4">
      <c r="A6" s="1" t="s">
        <v>27</v>
      </c>
      <c r="C6">
        <v>4</v>
      </c>
    </row>
    <row r="7" spans="1:4">
      <c r="A7" s="1" t="s">
        <v>28</v>
      </c>
      <c r="C7">
        <v>96</v>
      </c>
    </row>
    <row r="17" spans="3:8">
      <c r="E17" t="s">
        <v>13</v>
      </c>
    </row>
    <row r="18" spans="3:8">
      <c r="C18" s="5" t="s">
        <v>1</v>
      </c>
    </row>
    <row r="19" spans="3:8">
      <c r="C19" s="2" t="s">
        <v>0</v>
      </c>
      <c r="D19" s="2">
        <v>1</v>
      </c>
      <c r="E19" s="2">
        <v>2</v>
      </c>
      <c r="F19" s="2">
        <v>4</v>
      </c>
      <c r="G19" s="2">
        <v>8</v>
      </c>
      <c r="H19" s="2">
        <v>16</v>
      </c>
    </row>
    <row r="20" spans="3:8">
      <c r="C20" s="3" t="s">
        <v>14</v>
      </c>
      <c r="D20" s="4">
        <v>307960</v>
      </c>
      <c r="E20" s="4">
        <v>311391</v>
      </c>
      <c r="F20" s="4">
        <v>479355</v>
      </c>
      <c r="G20" s="4">
        <v>608947</v>
      </c>
      <c r="H20" s="4">
        <v>539221</v>
      </c>
    </row>
    <row r="21" spans="3:8">
      <c r="C21" s="3" t="s">
        <v>15</v>
      </c>
      <c r="D21" s="4">
        <v>265239</v>
      </c>
      <c r="E21" s="4">
        <v>274628</v>
      </c>
      <c r="F21" s="4">
        <v>460678</v>
      </c>
      <c r="G21" s="4">
        <v>834460</v>
      </c>
      <c r="H21" s="4">
        <v>1228400</v>
      </c>
    </row>
    <row r="22" spans="3:8">
      <c r="C22" s="3" t="s">
        <v>16</v>
      </c>
      <c r="D22" s="4">
        <v>513636</v>
      </c>
      <c r="E22" s="4">
        <v>363207</v>
      </c>
      <c r="F22" s="4">
        <v>322803</v>
      </c>
      <c r="G22" s="4">
        <v>500608</v>
      </c>
      <c r="H22" s="4">
        <v>654493</v>
      </c>
    </row>
    <row r="23" spans="3:8">
      <c r="C23" s="3" t="s">
        <v>34</v>
      </c>
      <c r="D23" s="16">
        <v>118397</v>
      </c>
      <c r="E23" s="16">
        <v>106077</v>
      </c>
      <c r="F23" s="16">
        <v>144777</v>
      </c>
      <c r="G23" s="16">
        <v>265815</v>
      </c>
      <c r="H23" s="16">
        <v>347989</v>
      </c>
    </row>
    <row r="26" spans="3:8">
      <c r="D26" s="8"/>
      <c r="E26" s="8"/>
      <c r="F26" s="8"/>
      <c r="G26" s="8"/>
      <c r="H26" s="8"/>
    </row>
    <row r="31" spans="3:8">
      <c r="C31" t="s">
        <v>29</v>
      </c>
    </row>
    <row r="32" spans="3:8">
      <c r="C32">
        <v>5</v>
      </c>
      <c r="D32" s="11">
        <v>84.517759999999996</v>
      </c>
      <c r="E32">
        <f>SUM($D$32:D32)</f>
        <v>84.517759999999996</v>
      </c>
      <c r="F32">
        <f>1-E32/100</f>
        <v>0.15482240000000003</v>
      </c>
      <c r="G32">
        <f t="shared" ref="G32:G51" si="0">LOG(F32)</f>
        <v>-0.81016620455355448</v>
      </c>
    </row>
    <row r="33" spans="3:7">
      <c r="C33">
        <v>10</v>
      </c>
      <c r="D33" s="11">
        <v>3.5501309999999999</v>
      </c>
      <c r="E33">
        <f>SUM($D$32:D33)</f>
        <v>88.067890999999989</v>
      </c>
      <c r="F33">
        <f t="shared" ref="F33:F51" si="1">1-E33/100</f>
        <v>0.11932109000000013</v>
      </c>
      <c r="G33">
        <f t="shared" si="0"/>
        <v>-0.92328278800505403</v>
      </c>
    </row>
    <row r="34" spans="3:7">
      <c r="C34">
        <v>15</v>
      </c>
      <c r="D34" s="11">
        <v>2.1807789999999998</v>
      </c>
      <c r="E34">
        <f>SUM($D$32:D34)</f>
        <v>90.24866999999999</v>
      </c>
      <c r="F34">
        <f t="shared" si="1"/>
        <v>9.7513300000000136E-2</v>
      </c>
      <c r="G34">
        <f t="shared" si="0"/>
        <v>-1.0109361461200845</v>
      </c>
    </row>
    <row r="35" spans="3:7">
      <c r="C35">
        <v>20</v>
      </c>
      <c r="D35" s="11">
        <v>1.511164</v>
      </c>
      <c r="E35">
        <f>SUM($D$32:D35)</f>
        <v>91.759833999999984</v>
      </c>
      <c r="F35">
        <f t="shared" si="1"/>
        <v>8.2401660000000154E-2</v>
      </c>
      <c r="G35">
        <f t="shared" si="0"/>
        <v>-1.0840640392546035</v>
      </c>
    </row>
    <row r="36" spans="3:7">
      <c r="C36">
        <v>25</v>
      </c>
      <c r="D36" s="11">
        <v>1.0474619999999999</v>
      </c>
      <c r="E36">
        <f>SUM($D$32:D36)</f>
        <v>92.80729599999998</v>
      </c>
      <c r="F36">
        <f t="shared" si="1"/>
        <v>7.1927040000000164E-2</v>
      </c>
      <c r="G36">
        <f t="shared" si="0"/>
        <v>-1.1431078117709115</v>
      </c>
    </row>
    <row r="37" spans="3:7">
      <c r="C37">
        <v>30</v>
      </c>
      <c r="D37" s="11">
        <v>0.87372399999999995</v>
      </c>
      <c r="E37">
        <f>SUM($D$32:D37)</f>
        <v>93.681019999999975</v>
      </c>
      <c r="F37">
        <f t="shared" si="1"/>
        <v>6.3189800000000296E-2</v>
      </c>
      <c r="G37">
        <f t="shared" si="0"/>
        <v>-1.1993530192053063</v>
      </c>
    </row>
    <row r="38" spans="3:7">
      <c r="C38">
        <v>35</v>
      </c>
      <c r="D38" s="11">
        <v>0.63958700000000002</v>
      </c>
      <c r="E38">
        <f>SUM($D$32:D38)</f>
        <v>94.320606999999981</v>
      </c>
      <c r="F38">
        <f t="shared" si="1"/>
        <v>5.6793930000000215E-2</v>
      </c>
      <c r="G38">
        <f t="shared" si="0"/>
        <v>-1.2456980781687996</v>
      </c>
    </row>
    <row r="39" spans="3:7">
      <c r="C39">
        <v>40</v>
      </c>
      <c r="D39" s="11">
        <v>0.43686199999999997</v>
      </c>
      <c r="E39">
        <f>SUM($D$32:D39)</f>
        <v>94.757468999999986</v>
      </c>
      <c r="F39">
        <f t="shared" si="1"/>
        <v>5.2425310000000169E-2</v>
      </c>
      <c r="G39">
        <f t="shared" si="0"/>
        <v>-1.2804589927960204</v>
      </c>
    </row>
    <row r="40" spans="3:7">
      <c r="C40">
        <v>45</v>
      </c>
      <c r="D40" s="11">
        <v>0.43686199999999997</v>
      </c>
      <c r="E40">
        <f>SUM($D$32:D40)</f>
        <v>95.194330999999991</v>
      </c>
      <c r="F40">
        <f t="shared" si="1"/>
        <v>4.8056690000000124E-2</v>
      </c>
      <c r="G40">
        <f t="shared" si="0"/>
        <v>-1.318246145397282</v>
      </c>
    </row>
    <row r="41" spans="3:7">
      <c r="C41">
        <v>50</v>
      </c>
      <c r="D41" s="11">
        <v>0.43686199999999997</v>
      </c>
      <c r="E41">
        <f>SUM($D$32:D41)</f>
        <v>95.631192999999996</v>
      </c>
      <c r="F41">
        <f t="shared" si="1"/>
        <v>4.3688070000000079E-2</v>
      </c>
      <c r="G41">
        <f t="shared" si="0"/>
        <v>-1.3596371406157695</v>
      </c>
    </row>
    <row r="42" spans="3:7">
      <c r="C42">
        <v>55</v>
      </c>
      <c r="D42" s="11">
        <v>0.43686199999999997</v>
      </c>
      <c r="E42">
        <f>SUM($D$32:D42)</f>
        <v>96.068055000000001</v>
      </c>
      <c r="F42">
        <f t="shared" si="1"/>
        <v>3.9319450000000034E-2</v>
      </c>
      <c r="G42">
        <f t="shared" si="0"/>
        <v>-1.4053925657034734</v>
      </c>
    </row>
    <row r="43" spans="3:7">
      <c r="C43">
        <v>60</v>
      </c>
      <c r="D43" s="11">
        <v>0.43686199999999997</v>
      </c>
      <c r="E43">
        <f>SUM($D$32:D43)</f>
        <v>96.504917000000006</v>
      </c>
      <c r="F43">
        <f t="shared" si="1"/>
        <v>3.4950829999999988E-2</v>
      </c>
      <c r="G43">
        <f t="shared" si="0"/>
        <v>-1.4565425063234543</v>
      </c>
    </row>
    <row r="44" spans="3:7">
      <c r="C44">
        <v>65</v>
      </c>
      <c r="D44" s="11">
        <v>0.43686199999999997</v>
      </c>
      <c r="E44">
        <f>SUM($D$32:D44)</f>
        <v>96.941779000000011</v>
      </c>
      <c r="F44">
        <f t="shared" si="1"/>
        <v>3.0582209999999943E-2</v>
      </c>
      <c r="G44">
        <f t="shared" si="0"/>
        <v>-1.5145311338313223</v>
      </c>
    </row>
    <row r="45" spans="3:7">
      <c r="C45">
        <v>70</v>
      </c>
      <c r="D45" s="11">
        <v>0.43686199999999997</v>
      </c>
      <c r="E45">
        <f>SUM($D$32:D45)</f>
        <v>97.378641000000016</v>
      </c>
      <c r="F45">
        <f t="shared" si="1"/>
        <v>2.6213589999999787E-2</v>
      </c>
      <c r="G45">
        <f t="shared" si="0"/>
        <v>-1.5814734975416458</v>
      </c>
    </row>
    <row r="46" spans="3:7">
      <c r="C46">
        <v>75</v>
      </c>
      <c r="D46" s="11">
        <v>0.43686199999999997</v>
      </c>
      <c r="E46">
        <f>SUM($D$32:D46)</f>
        <v>97.815503000000021</v>
      </c>
      <c r="F46">
        <f t="shared" si="1"/>
        <v>2.1844969999999742E-2</v>
      </c>
      <c r="G46">
        <f t="shared" si="0"/>
        <v>-1.6606485473766381</v>
      </c>
    </row>
    <row r="47" spans="3:7">
      <c r="C47">
        <v>80</v>
      </c>
      <c r="D47" s="11">
        <v>0.43686199999999997</v>
      </c>
      <c r="E47">
        <f>SUM($D$32:D47)</f>
        <v>98.252365000000026</v>
      </c>
      <c r="F47">
        <f t="shared" si="1"/>
        <v>1.7476349999999696E-2</v>
      </c>
      <c r="G47">
        <f t="shared" si="0"/>
        <v>-1.7575492662314989</v>
      </c>
    </row>
    <row r="48" spans="3:7">
      <c r="C48">
        <v>85</v>
      </c>
      <c r="D48" s="11">
        <v>0.43686199999999997</v>
      </c>
      <c r="E48">
        <f>SUM($D$32:D48)</f>
        <v>98.689227000000031</v>
      </c>
      <c r="F48">
        <f t="shared" si="1"/>
        <v>1.3107729999999651E-2</v>
      </c>
      <c r="G48">
        <f t="shared" si="0"/>
        <v>-1.8824725130264595</v>
      </c>
    </row>
    <row r="49" spans="2:7">
      <c r="C49">
        <v>90</v>
      </c>
      <c r="D49" s="11">
        <v>0.43686199999999997</v>
      </c>
      <c r="E49">
        <f>SUM($D$32:D49)</f>
        <v>99.126089000000036</v>
      </c>
      <c r="F49">
        <f t="shared" si="1"/>
        <v>8.7391099999996058E-3</v>
      </c>
      <c r="G49">
        <f t="shared" si="0"/>
        <v>-2.0585327941127711</v>
      </c>
    </row>
    <row r="50" spans="2:7">
      <c r="C50">
        <v>95</v>
      </c>
      <c r="D50" s="11">
        <v>0.43686199999999997</v>
      </c>
      <c r="E50">
        <f>SUM($D$32:D50)</f>
        <v>99.562951000000041</v>
      </c>
      <c r="F50">
        <f t="shared" si="1"/>
        <v>4.3704899999995606E-3</v>
      </c>
      <c r="G50">
        <f t="shared" si="0"/>
        <v>-2.359469869124279</v>
      </c>
    </row>
    <row r="51" spans="2:7">
      <c r="C51">
        <v>100</v>
      </c>
      <c r="D51" s="11">
        <v>0.43686199999999997</v>
      </c>
      <c r="E51">
        <f>SUM($D$32:D51)</f>
        <v>99.999813000000046</v>
      </c>
      <c r="F51">
        <f t="shared" si="1"/>
        <v>1.8699999995153149E-6</v>
      </c>
      <c r="G51">
        <f t="shared" si="0"/>
        <v>-5.7281583935760656</v>
      </c>
    </row>
    <row r="56" spans="2:7">
      <c r="B56" t="s">
        <v>8</v>
      </c>
    </row>
  </sheetData>
  <pageMargins left="0.7" right="0.7" top="0.75" bottom="0.75" header="0.3" footer="0.3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2:H56"/>
  <sheetViews>
    <sheetView topLeftCell="A2" workbookViewId="0">
      <selection activeCell="K41" sqref="K41"/>
    </sheetView>
  </sheetViews>
  <sheetFormatPr defaultColWidth="8.85546875" defaultRowHeight="15"/>
  <cols>
    <col min="1" max="1" width="7.85546875" customWidth="1"/>
    <col min="2" max="2" width="9.140625" hidden="1" customWidth="1"/>
    <col min="3" max="3" width="31.28515625" customWidth="1"/>
  </cols>
  <sheetData>
    <row r="2" spans="1:4">
      <c r="C2" s="1"/>
      <c r="D2" s="8"/>
    </row>
    <row r="5" spans="1:4">
      <c r="A5" s="1" t="s">
        <v>26</v>
      </c>
    </row>
    <row r="6" spans="1:4">
      <c r="A6" s="1" t="s">
        <v>27</v>
      </c>
      <c r="C6">
        <v>14</v>
      </c>
    </row>
    <row r="7" spans="1:4">
      <c r="A7" s="1" t="s">
        <v>28</v>
      </c>
      <c r="C7">
        <v>86</v>
      </c>
    </row>
    <row r="17" spans="3:8">
      <c r="E17" t="s">
        <v>13</v>
      </c>
    </row>
    <row r="18" spans="3:8">
      <c r="C18" s="5" t="s">
        <v>1</v>
      </c>
    </row>
    <row r="19" spans="3:8">
      <c r="C19" s="2" t="s">
        <v>0</v>
      </c>
      <c r="D19" s="2">
        <v>1</v>
      </c>
      <c r="E19" s="2">
        <v>2</v>
      </c>
      <c r="F19" s="2">
        <v>4</v>
      </c>
      <c r="G19" s="2">
        <v>8</v>
      </c>
      <c r="H19" s="2">
        <v>16</v>
      </c>
    </row>
    <row r="20" spans="3:8">
      <c r="C20" s="3" t="s">
        <v>14</v>
      </c>
      <c r="D20" s="4">
        <v>170495</v>
      </c>
      <c r="E20" s="4">
        <v>209281</v>
      </c>
      <c r="F20" s="4">
        <v>342306</v>
      </c>
      <c r="G20" s="4">
        <v>479258</v>
      </c>
      <c r="H20" s="4">
        <v>395343</v>
      </c>
    </row>
    <row r="21" spans="3:8">
      <c r="C21" s="3" t="s">
        <v>15</v>
      </c>
      <c r="D21" s="4">
        <v>156804</v>
      </c>
      <c r="E21" s="4">
        <v>203737</v>
      </c>
      <c r="F21" s="4">
        <v>351112</v>
      </c>
      <c r="G21" s="4">
        <v>617103</v>
      </c>
      <c r="H21" s="4">
        <v>832796</v>
      </c>
    </row>
    <row r="22" spans="3:8">
      <c r="C22" s="3" t="s">
        <v>16</v>
      </c>
      <c r="D22" s="4">
        <v>177393</v>
      </c>
      <c r="E22" s="4">
        <v>220103</v>
      </c>
      <c r="F22" s="4">
        <v>372514</v>
      </c>
      <c r="G22" s="4">
        <v>573378</v>
      </c>
      <c r="H22" s="4">
        <v>570347</v>
      </c>
    </row>
    <row r="23" spans="3:8">
      <c r="C23" s="3" t="s">
        <v>34</v>
      </c>
      <c r="D23" s="17">
        <v>56786</v>
      </c>
      <c r="E23" s="17">
        <v>69056</v>
      </c>
      <c r="F23" s="17">
        <v>118396</v>
      </c>
      <c r="G23" s="17">
        <v>223538</v>
      </c>
      <c r="H23" s="17">
        <v>280675</v>
      </c>
    </row>
    <row r="26" spans="3:8">
      <c r="D26" s="8"/>
      <c r="E26" s="8"/>
      <c r="F26" s="8"/>
      <c r="G26" s="8"/>
      <c r="H26" s="8"/>
    </row>
    <row r="31" spans="3:8">
      <c r="D31" s="8"/>
    </row>
    <row r="32" spans="3:8">
      <c r="D32" s="8"/>
    </row>
    <row r="33" spans="4:4">
      <c r="D33" s="8"/>
    </row>
    <row r="34" spans="4:4">
      <c r="D34" s="8"/>
    </row>
    <row r="35" spans="4:4">
      <c r="D35" s="8"/>
    </row>
    <row r="36" spans="4:4">
      <c r="D36" s="8"/>
    </row>
    <row r="37" spans="4:4">
      <c r="D37" s="8"/>
    </row>
    <row r="38" spans="4:4">
      <c r="D38" s="8"/>
    </row>
    <row r="39" spans="4:4">
      <c r="D39" s="8"/>
    </row>
    <row r="40" spans="4:4">
      <c r="D40" s="8"/>
    </row>
    <row r="41" spans="4:4">
      <c r="D41" s="8"/>
    </row>
    <row r="42" spans="4:4">
      <c r="D42" s="8"/>
    </row>
    <row r="43" spans="4:4">
      <c r="D43" s="8"/>
    </row>
    <row r="44" spans="4:4">
      <c r="D44" s="8"/>
    </row>
    <row r="45" spans="4:4">
      <c r="D45" s="8"/>
    </row>
    <row r="46" spans="4:4">
      <c r="D46" s="8"/>
    </row>
    <row r="47" spans="4:4">
      <c r="D47" s="8"/>
    </row>
    <row r="48" spans="4:4">
      <c r="D48" s="8"/>
    </row>
    <row r="49" spans="2:4">
      <c r="D49" s="8"/>
    </row>
    <row r="50" spans="2:4">
      <c r="D50" s="8"/>
    </row>
    <row r="51" spans="2:4">
      <c r="D51" s="8"/>
    </row>
    <row r="52" spans="2:4">
      <c r="D52" s="8"/>
    </row>
    <row r="53" spans="2:4">
      <c r="D53" s="8"/>
    </row>
    <row r="54" spans="2:4">
      <c r="D54" s="8"/>
    </row>
    <row r="56" spans="2:4">
      <c r="B56" t="s">
        <v>8</v>
      </c>
    </row>
  </sheetData>
  <pageMargins left="0.7" right="0.7" top="0.75" bottom="0.75" header="0.3" footer="0.3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6:G10"/>
  <sheetViews>
    <sheetView workbookViewId="0">
      <selection activeCell="K28" sqref="K28"/>
    </sheetView>
  </sheetViews>
  <sheetFormatPr defaultColWidth="11.42578125" defaultRowHeight="15"/>
  <cols>
    <col min="3" max="3" width="19.42578125" customWidth="1"/>
  </cols>
  <sheetData>
    <row r="6" spans="1:7">
      <c r="A6" s="12" t="s">
        <v>30</v>
      </c>
      <c r="B6" s="12">
        <v>4</v>
      </c>
      <c r="C6" s="12">
        <v>8</v>
      </c>
      <c r="D6" s="12">
        <v>16</v>
      </c>
      <c r="E6" s="12">
        <v>32</v>
      </c>
      <c r="F6" s="12">
        <v>64</v>
      </c>
      <c r="G6" s="12">
        <v>128</v>
      </c>
    </row>
    <row r="7" spans="1:7">
      <c r="A7" s="12" t="s">
        <v>31</v>
      </c>
      <c r="B7">
        <v>435995</v>
      </c>
      <c r="C7">
        <v>713015</v>
      </c>
      <c r="D7">
        <v>848288</v>
      </c>
      <c r="E7">
        <v>935143</v>
      </c>
      <c r="F7">
        <v>1013964</v>
      </c>
      <c r="G7">
        <v>1010575</v>
      </c>
    </row>
    <row r="8" spans="1:7">
      <c r="A8" s="12" t="s">
        <v>32</v>
      </c>
      <c r="B8">
        <v>390680</v>
      </c>
      <c r="C8">
        <v>458821</v>
      </c>
      <c r="D8">
        <v>768392</v>
      </c>
      <c r="E8">
        <v>794459</v>
      </c>
      <c r="F8">
        <v>601837</v>
      </c>
      <c r="G8">
        <v>566178</v>
      </c>
    </row>
    <row r="9" spans="1:7">
      <c r="A9" s="12" t="s">
        <v>33</v>
      </c>
      <c r="B9">
        <v>480948</v>
      </c>
      <c r="C9">
        <v>490199</v>
      </c>
      <c r="D9">
        <v>787642</v>
      </c>
      <c r="E9">
        <v>101831</v>
      </c>
      <c r="F9">
        <v>7469</v>
      </c>
      <c r="G9">
        <v>2465</v>
      </c>
    </row>
    <row r="10" spans="1:7">
      <c r="A10" s="11" t="s">
        <v>35</v>
      </c>
      <c r="B10" s="18">
        <v>145109</v>
      </c>
      <c r="C10" s="18">
        <v>182915</v>
      </c>
      <c r="D10" s="18">
        <v>270117</v>
      </c>
      <c r="E10" s="18">
        <v>248774</v>
      </c>
      <c r="F10" s="18">
        <v>210698</v>
      </c>
      <c r="G10">
        <v>208711</v>
      </c>
    </row>
  </sheetData>
  <pageMargins left="0.75" right="0.75" top="1" bottom="1" header="0.5" footer="0.5"/>
  <pageSetup orientation="portrait" horizontalDpi="4294967292" verticalDpi="4294967292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B2:H65"/>
  <sheetViews>
    <sheetView topLeftCell="C6" workbookViewId="0">
      <selection activeCell="K8" sqref="K8"/>
    </sheetView>
  </sheetViews>
  <sheetFormatPr defaultColWidth="8.85546875" defaultRowHeight="15"/>
  <cols>
    <col min="3" max="3" width="19.7109375" customWidth="1"/>
  </cols>
  <sheetData>
    <row r="2" spans="3:3">
      <c r="C2" s="1"/>
    </row>
    <row r="17" spans="3:8">
      <c r="E17" t="s">
        <v>13</v>
      </c>
    </row>
    <row r="18" spans="3:8">
      <c r="C18" s="5" t="s">
        <v>1</v>
      </c>
    </row>
    <row r="19" spans="3:8">
      <c r="C19" s="2" t="s">
        <v>0</v>
      </c>
      <c r="D19" s="2">
        <v>1</v>
      </c>
      <c r="E19" s="2">
        <v>2</v>
      </c>
      <c r="F19" s="2">
        <v>4</v>
      </c>
      <c r="G19" s="2">
        <v>8</v>
      </c>
      <c r="H19" s="2">
        <v>16</v>
      </c>
    </row>
    <row r="20" spans="3:8">
      <c r="C20" s="3" t="s">
        <v>14</v>
      </c>
      <c r="D20" s="4">
        <v>113984</v>
      </c>
      <c r="E20" s="4">
        <v>117608</v>
      </c>
      <c r="F20" s="4">
        <v>69078</v>
      </c>
      <c r="G20" s="4">
        <v>59586</v>
      </c>
      <c r="H20" s="4">
        <v>57019</v>
      </c>
    </row>
    <row r="21" spans="3:8">
      <c r="C21" s="3" t="s">
        <v>15</v>
      </c>
      <c r="D21" s="4">
        <v>159769</v>
      </c>
      <c r="E21" s="4">
        <v>165594</v>
      </c>
      <c r="F21" s="4">
        <v>233272</v>
      </c>
      <c r="G21" s="4">
        <v>228158</v>
      </c>
      <c r="H21" s="4">
        <v>194133</v>
      </c>
    </row>
    <row r="22" spans="3:8">
      <c r="C22" s="3" t="s">
        <v>20</v>
      </c>
      <c r="D22">
        <v>118527</v>
      </c>
      <c r="E22">
        <v>130412</v>
      </c>
      <c r="F22">
        <v>153383</v>
      </c>
      <c r="G22">
        <v>163855</v>
      </c>
      <c r="H22">
        <v>142019</v>
      </c>
    </row>
    <row r="26" spans="3:8">
      <c r="C26" s="5" t="s">
        <v>18</v>
      </c>
    </row>
    <row r="27" spans="3:8">
      <c r="C27" s="2" t="s">
        <v>0</v>
      </c>
      <c r="D27" s="2">
        <v>1</v>
      </c>
      <c r="E27" s="2">
        <v>2</v>
      </c>
      <c r="F27" s="2">
        <v>4</v>
      </c>
      <c r="G27" s="2">
        <v>8</v>
      </c>
      <c r="H27" s="2">
        <v>16</v>
      </c>
    </row>
    <row r="28" spans="3:8">
      <c r="C28" s="3" t="s">
        <v>14</v>
      </c>
      <c r="D28" s="4">
        <v>6</v>
      </c>
      <c r="E28" s="4">
        <v>6</v>
      </c>
      <c r="F28" s="4">
        <v>23</v>
      </c>
      <c r="G28" s="4">
        <v>53</v>
      </c>
      <c r="H28" s="4">
        <v>109</v>
      </c>
    </row>
    <row r="29" spans="3:8">
      <c r="C29" s="3" t="s">
        <v>15</v>
      </c>
      <c r="D29" s="4">
        <v>6</v>
      </c>
      <c r="E29" s="4">
        <v>6</v>
      </c>
      <c r="F29" s="4">
        <v>7</v>
      </c>
      <c r="G29" s="4">
        <v>12</v>
      </c>
      <c r="H29" s="4">
        <v>20</v>
      </c>
    </row>
    <row r="30" spans="3:8">
      <c r="C30" s="3" t="s">
        <v>20</v>
      </c>
      <c r="D30" s="4">
        <v>7</v>
      </c>
      <c r="E30" s="4">
        <v>7</v>
      </c>
      <c r="F30" s="4">
        <v>10</v>
      </c>
      <c r="G30" s="4">
        <v>14</v>
      </c>
      <c r="H30" s="4">
        <v>22</v>
      </c>
    </row>
    <row r="34" spans="3:8">
      <c r="C34" s="5" t="s">
        <v>2</v>
      </c>
    </row>
    <row r="35" spans="3:8">
      <c r="C35" s="2" t="s">
        <v>0</v>
      </c>
      <c r="D35" s="2">
        <v>1</v>
      </c>
      <c r="E35" s="2">
        <v>2</v>
      </c>
      <c r="F35" s="2">
        <v>4</v>
      </c>
      <c r="G35" s="2">
        <v>8</v>
      </c>
      <c r="H35" s="2">
        <v>16</v>
      </c>
    </row>
    <row r="36" spans="3:8">
      <c r="C36" s="3" t="s">
        <v>14</v>
      </c>
      <c r="D36" s="4">
        <v>12</v>
      </c>
      <c r="E36" s="4">
        <v>12</v>
      </c>
      <c r="F36" s="4">
        <v>44</v>
      </c>
      <c r="G36" s="4">
        <v>101</v>
      </c>
      <c r="H36" s="4">
        <v>238</v>
      </c>
    </row>
    <row r="37" spans="3:8">
      <c r="C37" s="3" t="s">
        <v>15</v>
      </c>
      <c r="D37" s="4">
        <v>10</v>
      </c>
      <c r="E37" s="4">
        <v>10</v>
      </c>
      <c r="F37" s="4">
        <v>15</v>
      </c>
      <c r="G37" s="4">
        <v>52</v>
      </c>
      <c r="H37" s="4">
        <v>151</v>
      </c>
    </row>
    <row r="38" spans="3:8">
      <c r="C38" s="3" t="s">
        <v>20</v>
      </c>
      <c r="D38" s="4">
        <v>13</v>
      </c>
      <c r="E38" s="4">
        <v>13</v>
      </c>
      <c r="F38" s="4">
        <v>28</v>
      </c>
      <c r="G38" s="4">
        <v>76</v>
      </c>
      <c r="H38" s="4">
        <v>226</v>
      </c>
    </row>
    <row r="42" spans="3:8">
      <c r="C42" s="5" t="s">
        <v>3</v>
      </c>
    </row>
    <row r="43" spans="3:8">
      <c r="C43" s="2" t="s">
        <v>0</v>
      </c>
      <c r="D43" s="2">
        <v>1</v>
      </c>
      <c r="E43" s="2">
        <v>2</v>
      </c>
      <c r="F43" s="2">
        <v>4</v>
      </c>
      <c r="G43" s="2">
        <v>8</v>
      </c>
      <c r="H43" s="2">
        <v>16</v>
      </c>
    </row>
    <row r="44" spans="3:8">
      <c r="C44" s="3" t="s">
        <v>14</v>
      </c>
      <c r="D44" s="4">
        <v>41</v>
      </c>
      <c r="E44" s="4">
        <v>39</v>
      </c>
      <c r="F44" s="4">
        <v>101</v>
      </c>
      <c r="G44" s="4">
        <v>175</v>
      </c>
      <c r="H44" s="4">
        <v>379</v>
      </c>
    </row>
    <row r="45" spans="3:8">
      <c r="C45" s="3" t="s">
        <v>15</v>
      </c>
      <c r="D45" s="4">
        <v>16</v>
      </c>
      <c r="E45" s="4">
        <v>16</v>
      </c>
      <c r="F45" s="4">
        <v>56</v>
      </c>
      <c r="G45" s="4">
        <v>114</v>
      </c>
      <c r="H45" s="4">
        <v>239</v>
      </c>
    </row>
    <row r="46" spans="3:8">
      <c r="C46" s="3" t="s">
        <v>20</v>
      </c>
      <c r="D46" s="4">
        <v>55</v>
      </c>
      <c r="E46" s="4">
        <v>56</v>
      </c>
      <c r="F46" s="4">
        <v>97</v>
      </c>
      <c r="G46" s="4">
        <v>188</v>
      </c>
      <c r="H46" s="4">
        <v>484</v>
      </c>
    </row>
    <row r="54" spans="2:3">
      <c r="B54" t="s">
        <v>8</v>
      </c>
    </row>
    <row r="55" spans="2:3">
      <c r="C55" s="7"/>
    </row>
    <row r="56" spans="2:3">
      <c r="C56" s="7"/>
    </row>
    <row r="57" spans="2:3">
      <c r="C57" s="7"/>
    </row>
    <row r="58" spans="2:3">
      <c r="C58" s="7"/>
    </row>
    <row r="59" spans="2:3">
      <c r="C59" s="7"/>
    </row>
    <row r="61" spans="2:3">
      <c r="C61" s="7"/>
    </row>
    <row r="62" spans="2:3">
      <c r="C62" s="7"/>
    </row>
    <row r="63" spans="2:3">
      <c r="C63" s="7"/>
    </row>
    <row r="64" spans="2:3">
      <c r="C64" s="7"/>
    </row>
    <row r="65" spans="3:3">
      <c r="C65" s="7"/>
    </row>
  </sheetData>
  <pageMargins left="0.7" right="0.7" top="0.75" bottom="0.75" header="0.3" footer="0.3"/>
  <pageSetup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0% read , 100% write</vt:lpstr>
      <vt:lpstr>100% read , 0% write</vt:lpstr>
      <vt:lpstr>100% RMW </vt:lpstr>
      <vt:lpstr>var buffer size</vt:lpstr>
      <vt:lpstr>50% read , 50% write</vt:lpstr>
      <vt:lpstr>50% scans, 50% writes</vt:lpstr>
      <vt:lpstr>Heavy compactions</vt:lpstr>
      <vt:lpstr>ProdA</vt:lpstr>
      <vt:lpstr>ProdB</vt:lpstr>
      <vt:lpstr>ProdD</vt:lpstr>
      <vt:lpstr>ProdE</vt:lpstr>
      <vt:lpstr>Production4Partitions</vt:lpstr>
      <vt:lpstr>100% write (back rmw)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2014-04-18T12:35:23Z</cp:lastPrinted>
  <dcterms:created xsi:type="dcterms:W3CDTF">2006-09-16T00:00:00Z</dcterms:created>
  <dcterms:modified xsi:type="dcterms:W3CDTF">2014-10-06T18:47:35Z</dcterms:modified>
</cp:coreProperties>
</file>